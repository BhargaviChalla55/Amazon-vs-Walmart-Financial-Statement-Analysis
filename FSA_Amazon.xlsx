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2e62534b71812a4/Desktop/616 _ Financial Statement Analysis/Cases/Final Project/"/>
    </mc:Choice>
  </mc:AlternateContent>
  <xr:revisionPtr revIDLastSave="1212" documentId="11_F25DC773A252ABDACC1048B0F9D957525BDE58EC" xr6:coauthVersionLast="47" xr6:coauthVersionMax="47" xr10:uidLastSave="{D07ECD77-3632-4451-B149-993ABE72763E}"/>
  <bookViews>
    <workbookView xWindow="-108" yWindow="-108" windowWidth="23256" windowHeight="12456" firstSheet="4" activeTab="7" xr2:uid="{00000000-000D-0000-FFFF-FFFF00000000}"/>
  </bookViews>
  <sheets>
    <sheet name="Financial Statement Amazon" sheetId="2" r:id="rId1"/>
    <sheet name="Financial Statement Walmart" sheetId="3" r:id="rId2"/>
    <sheet name="Key Ratios" sheetId="4" r:id="rId3"/>
    <sheet name="Additional Calculation" sheetId="1" r:id="rId4"/>
    <sheet name="Profitability Ratio Analysis" sheetId="6" r:id="rId5"/>
    <sheet name="Productivity Ratio Analysis" sheetId="7" r:id="rId6"/>
    <sheet name="Liquidy Solvency Ratio" sheetId="8" r:id="rId7"/>
    <sheet name="Valuation_DCF" sheetId="9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1" l="1"/>
  <c r="B42" i="1"/>
  <c r="B41" i="1"/>
  <c r="B19" i="9"/>
  <c r="B8" i="9"/>
  <c r="B9" i="9"/>
  <c r="C9" i="9" s="1"/>
  <c r="B7" i="9"/>
  <c r="C7" i="9" s="1"/>
  <c r="D7" i="9" s="1"/>
  <c r="E7" i="9" s="1"/>
  <c r="F7" i="9" s="1"/>
  <c r="B16" i="8"/>
  <c r="B14" i="8"/>
  <c r="C14" i="8" s="1"/>
  <c r="E14" i="8" s="1"/>
  <c r="B10" i="8"/>
  <c r="B7" i="8"/>
  <c r="B5" i="8"/>
  <c r="B4" i="8"/>
  <c r="C5" i="8" s="1"/>
  <c r="E5" i="8" s="1"/>
  <c r="B8" i="8"/>
  <c r="D7" i="7"/>
  <c r="E7" i="7"/>
  <c r="C7" i="7"/>
  <c r="D6" i="7"/>
  <c r="E6" i="7"/>
  <c r="C6" i="7"/>
  <c r="D5" i="7"/>
  <c r="D9" i="7" s="1"/>
  <c r="E5" i="7"/>
  <c r="E9" i="7" s="1"/>
  <c r="C5" i="7"/>
  <c r="E18" i="7"/>
  <c r="D18" i="7"/>
  <c r="C18" i="7"/>
  <c r="E16" i="7"/>
  <c r="D16" i="7"/>
  <c r="D20" i="7" s="1"/>
  <c r="C16" i="7"/>
  <c r="D14" i="7"/>
  <c r="E14" i="7" s="1"/>
  <c r="E3" i="7"/>
  <c r="D3" i="7"/>
  <c r="F26" i="6"/>
  <c r="G26" i="6"/>
  <c r="H26" i="6"/>
  <c r="I26" i="6"/>
  <c r="J26" i="6"/>
  <c r="E26" i="6"/>
  <c r="F24" i="6"/>
  <c r="G24" i="6"/>
  <c r="H24" i="6"/>
  <c r="I24" i="6"/>
  <c r="J24" i="6"/>
  <c r="E24" i="6"/>
  <c r="F22" i="6"/>
  <c r="G22" i="6"/>
  <c r="H22" i="6"/>
  <c r="I22" i="6"/>
  <c r="J22" i="6"/>
  <c r="E22" i="6"/>
  <c r="F18" i="6"/>
  <c r="G18" i="6"/>
  <c r="H18" i="6"/>
  <c r="I18" i="6"/>
  <c r="J18" i="6"/>
  <c r="E18" i="6"/>
  <c r="F16" i="6"/>
  <c r="G16" i="6"/>
  <c r="H16" i="6"/>
  <c r="I16" i="6"/>
  <c r="J16" i="6"/>
  <c r="E16" i="6"/>
  <c r="F14" i="6"/>
  <c r="G14" i="6"/>
  <c r="H14" i="6"/>
  <c r="I14" i="6"/>
  <c r="J14" i="6"/>
  <c r="E14" i="6"/>
  <c r="F11" i="6"/>
  <c r="G11" i="6"/>
  <c r="H11" i="6"/>
  <c r="I11" i="6"/>
  <c r="J11" i="6"/>
  <c r="E11" i="6"/>
  <c r="F9" i="6"/>
  <c r="G9" i="6"/>
  <c r="H9" i="6"/>
  <c r="I9" i="6"/>
  <c r="J9" i="6"/>
  <c r="E9" i="6"/>
  <c r="F7" i="6"/>
  <c r="G7" i="6"/>
  <c r="H7" i="6"/>
  <c r="I7" i="6"/>
  <c r="J7" i="6"/>
  <c r="E7" i="6"/>
  <c r="C21" i="4"/>
  <c r="D21" i="4"/>
  <c r="E21" i="4"/>
  <c r="F21" i="4"/>
  <c r="G21" i="4"/>
  <c r="B21" i="4"/>
  <c r="F20" i="4"/>
  <c r="G20" i="4"/>
  <c r="E20" i="4"/>
  <c r="C20" i="4"/>
  <c r="D20" i="4"/>
  <c r="B20" i="4"/>
  <c r="F19" i="4"/>
  <c r="G19" i="4"/>
  <c r="E19" i="4"/>
  <c r="C19" i="4"/>
  <c r="D19" i="4"/>
  <c r="B19" i="4"/>
  <c r="F106" i="4"/>
  <c r="G106" i="4"/>
  <c r="E106" i="4"/>
  <c r="F105" i="4"/>
  <c r="G105" i="4"/>
  <c r="E105" i="4"/>
  <c r="F100" i="4"/>
  <c r="G100" i="4"/>
  <c r="E100" i="4"/>
  <c r="F95" i="4"/>
  <c r="G95" i="4"/>
  <c r="E95" i="4"/>
  <c r="E85" i="4"/>
  <c r="F85" i="4"/>
  <c r="G85" i="4"/>
  <c r="F71" i="4"/>
  <c r="G71" i="4"/>
  <c r="G76" i="4" s="1"/>
  <c r="E71" i="4"/>
  <c r="E76" i="4" s="1"/>
  <c r="F70" i="4"/>
  <c r="G70" i="4"/>
  <c r="E70" i="4"/>
  <c r="E72" i="4" s="1"/>
  <c r="F65" i="4"/>
  <c r="G65" i="4"/>
  <c r="E65" i="4"/>
  <c r="F61" i="4"/>
  <c r="F66" i="4" s="1"/>
  <c r="G61" i="4"/>
  <c r="G66" i="4" s="1"/>
  <c r="E61" i="4"/>
  <c r="E66" i="4" s="1"/>
  <c r="F60" i="4"/>
  <c r="G60" i="4"/>
  <c r="E60" i="4"/>
  <c r="F54" i="4"/>
  <c r="G54" i="4"/>
  <c r="E54" i="4"/>
  <c r="E50" i="4"/>
  <c r="E56" i="4" s="1"/>
  <c r="E75" i="4" s="1"/>
  <c r="F50" i="4"/>
  <c r="F56" i="4" s="1"/>
  <c r="F75" i="4" s="1"/>
  <c r="G50" i="4"/>
  <c r="G56" i="4" s="1"/>
  <c r="G75" i="4" s="1"/>
  <c r="F49" i="4"/>
  <c r="G49" i="4"/>
  <c r="E49" i="4"/>
  <c r="E40" i="4"/>
  <c r="E45" i="4" s="1"/>
  <c r="F40" i="4"/>
  <c r="F45" i="4" s="1"/>
  <c r="G40" i="4"/>
  <c r="G45" i="4" s="1"/>
  <c r="F39" i="4"/>
  <c r="G39" i="4"/>
  <c r="G44" i="4" s="1"/>
  <c r="E39" i="4"/>
  <c r="E44" i="4" s="1"/>
  <c r="F35" i="4"/>
  <c r="G35" i="4"/>
  <c r="E35" i="4"/>
  <c r="F30" i="4"/>
  <c r="G30" i="4"/>
  <c r="E30" i="4"/>
  <c r="F29" i="4"/>
  <c r="G29" i="4"/>
  <c r="E29" i="4"/>
  <c r="F25" i="4"/>
  <c r="G25" i="4"/>
  <c r="E25" i="4"/>
  <c r="F24" i="4"/>
  <c r="F34" i="4" s="1"/>
  <c r="G24" i="4"/>
  <c r="G34" i="4" s="1"/>
  <c r="E24" i="4"/>
  <c r="E26" i="4" s="1"/>
  <c r="E15" i="4"/>
  <c r="E91" i="4" s="1"/>
  <c r="F15" i="4"/>
  <c r="F91" i="4" s="1"/>
  <c r="G15" i="4"/>
  <c r="G91" i="4" s="1"/>
  <c r="E14" i="4"/>
  <c r="F14" i="4"/>
  <c r="G14" i="4"/>
  <c r="F10" i="4"/>
  <c r="F80" i="4" s="1"/>
  <c r="G10" i="4"/>
  <c r="G80" i="4" s="1"/>
  <c r="E10" i="4"/>
  <c r="E80" i="4" s="1"/>
  <c r="F5" i="4"/>
  <c r="F81" i="4" s="1"/>
  <c r="G5" i="4"/>
  <c r="G81" i="4" s="1"/>
  <c r="E5" i="4"/>
  <c r="E81" i="4" s="1"/>
  <c r="F4" i="4"/>
  <c r="F9" i="4" s="1"/>
  <c r="F11" i="4" s="1"/>
  <c r="G4" i="4"/>
  <c r="G9" i="4" s="1"/>
  <c r="G11" i="4" s="1"/>
  <c r="E4" i="4"/>
  <c r="E9" i="4" s="1"/>
  <c r="C50" i="4"/>
  <c r="C56" i="4" s="1"/>
  <c r="C75" i="4" s="1"/>
  <c r="D50" i="4"/>
  <c r="D56" i="4" s="1"/>
  <c r="D75" i="4" s="1"/>
  <c r="B50" i="4"/>
  <c r="B56" i="4" s="1"/>
  <c r="B75" i="4" s="1"/>
  <c r="G36" i="1"/>
  <c r="H36" i="1"/>
  <c r="I36" i="1"/>
  <c r="F36" i="1"/>
  <c r="G34" i="1"/>
  <c r="G37" i="1" s="1"/>
  <c r="H34" i="1"/>
  <c r="H37" i="1" s="1"/>
  <c r="I34" i="1"/>
  <c r="I37" i="1" s="1"/>
  <c r="F34" i="1"/>
  <c r="F37" i="1" s="1"/>
  <c r="G26" i="1"/>
  <c r="H26" i="1"/>
  <c r="I26" i="1"/>
  <c r="G25" i="1"/>
  <c r="H25" i="1"/>
  <c r="I25" i="1"/>
  <c r="F25" i="1"/>
  <c r="G24" i="1"/>
  <c r="H24" i="1"/>
  <c r="I24" i="1"/>
  <c r="F24" i="1"/>
  <c r="F26" i="1"/>
  <c r="G23" i="1"/>
  <c r="H23" i="1"/>
  <c r="H27" i="1" s="1"/>
  <c r="I23" i="1"/>
  <c r="F23" i="1"/>
  <c r="G19" i="1"/>
  <c r="H19" i="1"/>
  <c r="I19" i="1"/>
  <c r="F19" i="1"/>
  <c r="G18" i="1"/>
  <c r="H18" i="1"/>
  <c r="I18" i="1"/>
  <c r="F18" i="1"/>
  <c r="G17" i="1"/>
  <c r="H17" i="1"/>
  <c r="I17" i="1"/>
  <c r="F17" i="1"/>
  <c r="G16" i="1"/>
  <c r="H16" i="1"/>
  <c r="I16" i="1"/>
  <c r="F16" i="1"/>
  <c r="G15" i="1"/>
  <c r="H15" i="1"/>
  <c r="I15" i="1"/>
  <c r="F15" i="1"/>
  <c r="G14" i="1"/>
  <c r="H14" i="1"/>
  <c r="I14" i="1"/>
  <c r="F14" i="1"/>
  <c r="F7" i="1"/>
  <c r="G7" i="1"/>
  <c r="E7" i="1"/>
  <c r="F6" i="1"/>
  <c r="F9" i="1" s="1"/>
  <c r="G6" i="1"/>
  <c r="G9" i="1" s="1"/>
  <c r="E6" i="1"/>
  <c r="C36" i="1"/>
  <c r="D36" i="1"/>
  <c r="E36" i="1"/>
  <c r="B36" i="1"/>
  <c r="B37" i="1" s="1"/>
  <c r="C34" i="1"/>
  <c r="D34" i="1"/>
  <c r="E34" i="1"/>
  <c r="B34" i="1"/>
  <c r="B26" i="1"/>
  <c r="B23" i="1"/>
  <c r="B27" i="1" s="1"/>
  <c r="B19" i="1"/>
  <c r="B18" i="1"/>
  <c r="B17" i="1"/>
  <c r="B16" i="1"/>
  <c r="B15" i="1"/>
  <c r="B14" i="1"/>
  <c r="C26" i="1"/>
  <c r="D26" i="1"/>
  <c r="E26" i="1"/>
  <c r="C7" i="1"/>
  <c r="D7" i="1"/>
  <c r="B7" i="1"/>
  <c r="C6" i="1"/>
  <c r="D6" i="1"/>
  <c r="B6" i="1"/>
  <c r="D23" i="1"/>
  <c r="E23" i="1"/>
  <c r="C23" i="1"/>
  <c r="D19" i="1"/>
  <c r="E19" i="1"/>
  <c r="C19" i="1"/>
  <c r="D18" i="1"/>
  <c r="E18" i="1"/>
  <c r="C18" i="1"/>
  <c r="D17" i="1"/>
  <c r="E17" i="1"/>
  <c r="C17" i="1"/>
  <c r="D16" i="1"/>
  <c r="E16" i="1"/>
  <c r="C16" i="1"/>
  <c r="D15" i="1"/>
  <c r="E15" i="1"/>
  <c r="C15" i="1"/>
  <c r="D14" i="1"/>
  <c r="E14" i="1"/>
  <c r="C14" i="1"/>
  <c r="C54" i="4"/>
  <c r="D54" i="4"/>
  <c r="B54" i="4"/>
  <c r="C49" i="4"/>
  <c r="D49" i="4"/>
  <c r="B49" i="4"/>
  <c r="C65" i="4"/>
  <c r="D65" i="4"/>
  <c r="B65" i="4"/>
  <c r="C70" i="4"/>
  <c r="D70" i="4"/>
  <c r="B70" i="4"/>
  <c r="D57" i="2"/>
  <c r="E57" i="2"/>
  <c r="C57" i="2"/>
  <c r="C71" i="4"/>
  <c r="C76" i="4" s="1"/>
  <c r="D71" i="4"/>
  <c r="D76" i="4" s="1"/>
  <c r="B71" i="4"/>
  <c r="B76" i="4" s="1"/>
  <c r="C60" i="4"/>
  <c r="D60" i="4"/>
  <c r="C61" i="4"/>
  <c r="C66" i="4" s="1"/>
  <c r="D61" i="4"/>
  <c r="D66" i="4" s="1"/>
  <c r="B61" i="4"/>
  <c r="B66" i="4" s="1"/>
  <c r="B60" i="4"/>
  <c r="C95" i="4"/>
  <c r="D95" i="4"/>
  <c r="B95" i="4"/>
  <c r="C100" i="4"/>
  <c r="D100" i="4"/>
  <c r="B100" i="4"/>
  <c r="C105" i="4"/>
  <c r="D105" i="4"/>
  <c r="C106" i="4"/>
  <c r="D106" i="4"/>
  <c r="B106" i="4"/>
  <c r="B105" i="4"/>
  <c r="B107" i="4" s="1"/>
  <c r="A51" i="4"/>
  <c r="C40" i="4"/>
  <c r="C45" i="4" s="1"/>
  <c r="D40" i="4"/>
  <c r="D45" i="4" s="1"/>
  <c r="B40" i="4"/>
  <c r="B45" i="4" s="1"/>
  <c r="C39" i="4"/>
  <c r="C44" i="4" s="1"/>
  <c r="D39" i="4"/>
  <c r="D44" i="4" s="1"/>
  <c r="B39" i="4"/>
  <c r="B44" i="4" s="1"/>
  <c r="D35" i="4"/>
  <c r="C35" i="4"/>
  <c r="B35" i="4"/>
  <c r="D30" i="4"/>
  <c r="C30" i="4"/>
  <c r="C31" i="4" s="1"/>
  <c r="B30" i="4"/>
  <c r="C29" i="4"/>
  <c r="D29" i="4"/>
  <c r="B29" i="4"/>
  <c r="B31" i="4" s="1"/>
  <c r="D31" i="4"/>
  <c r="D25" i="4"/>
  <c r="D26" i="4" s="1"/>
  <c r="C25" i="4"/>
  <c r="B25" i="4"/>
  <c r="C24" i="4"/>
  <c r="C34" i="4" s="1"/>
  <c r="C96" i="4" s="1"/>
  <c r="C90" i="4" s="1"/>
  <c r="C86" i="4" s="1"/>
  <c r="D24" i="4"/>
  <c r="D34" i="4" s="1"/>
  <c r="D96" i="4" s="1"/>
  <c r="D90" i="4" s="1"/>
  <c r="D86" i="4" s="1"/>
  <c r="B24" i="4"/>
  <c r="B34" i="4" s="1"/>
  <c r="C10" i="4"/>
  <c r="C80" i="4" s="1"/>
  <c r="D10" i="4"/>
  <c r="D80" i="4" s="1"/>
  <c r="B10" i="4"/>
  <c r="B80" i="4" s="1"/>
  <c r="C9" i="4"/>
  <c r="D9" i="4"/>
  <c r="B9" i="4"/>
  <c r="D5" i="4"/>
  <c r="D81" i="4" s="1"/>
  <c r="C5" i="4"/>
  <c r="C81" i="4" s="1"/>
  <c r="B5" i="4"/>
  <c r="B81" i="4" s="1"/>
  <c r="C4" i="4"/>
  <c r="D4" i="4"/>
  <c r="B4" i="4"/>
  <c r="F3" i="1"/>
  <c r="F4" i="1" s="1"/>
  <c r="G3" i="1"/>
  <c r="G4" i="1" s="1"/>
  <c r="E3" i="1"/>
  <c r="E4" i="1" s="1"/>
  <c r="D3" i="1"/>
  <c r="D4" i="1" s="1"/>
  <c r="C3" i="1"/>
  <c r="C4" i="1" s="1"/>
  <c r="B3" i="1"/>
  <c r="B4" i="1" s="1"/>
  <c r="A3" i="1"/>
  <c r="C12" i="9" l="1"/>
  <c r="C13" i="9" s="1"/>
  <c r="C14" i="9" s="1"/>
  <c r="D9" i="9"/>
  <c r="E9" i="9" s="1"/>
  <c r="F9" i="9" s="1"/>
  <c r="D12" i="9"/>
  <c r="D13" i="9" s="1"/>
  <c r="D14" i="9" s="1"/>
  <c r="F12" i="9"/>
  <c r="F13" i="9" s="1"/>
  <c r="G13" i="9" s="1"/>
  <c r="B17" i="9" s="1"/>
  <c r="E12" i="9"/>
  <c r="E13" i="9" s="1"/>
  <c r="E14" i="9" s="1"/>
  <c r="B17" i="8"/>
  <c r="C17" i="8" s="1"/>
  <c r="E17" i="8" s="1"/>
  <c r="B11" i="8"/>
  <c r="C8" i="8"/>
  <c r="E8" i="8" s="1"/>
  <c r="C11" i="8"/>
  <c r="E11" i="8" s="1"/>
  <c r="C20" i="7"/>
  <c r="E20" i="7"/>
  <c r="C9" i="7"/>
  <c r="C51" i="4"/>
  <c r="E11" i="4"/>
  <c r="B62" i="4"/>
  <c r="E67" i="4"/>
  <c r="D46" i="4"/>
  <c r="E16" i="4"/>
  <c r="B67" i="4"/>
  <c r="E31" i="4"/>
  <c r="D41" i="4"/>
  <c r="C41" i="4"/>
  <c r="F72" i="4"/>
  <c r="E55" i="4"/>
  <c r="E57" i="4" s="1"/>
  <c r="G55" i="4"/>
  <c r="G57" i="4" s="1"/>
  <c r="G67" i="4"/>
  <c r="F76" i="4"/>
  <c r="F77" i="4" s="1"/>
  <c r="C67" i="4"/>
  <c r="F55" i="4"/>
  <c r="F57" i="4" s="1"/>
  <c r="F67" i="4"/>
  <c r="G31" i="4"/>
  <c r="D97" i="4"/>
  <c r="B51" i="4"/>
  <c r="D51" i="4"/>
  <c r="F41" i="4"/>
  <c r="G46" i="4"/>
  <c r="C77" i="4"/>
  <c r="E6" i="4"/>
  <c r="D36" i="4"/>
  <c r="D107" i="4"/>
  <c r="D67" i="4"/>
  <c r="B72" i="4"/>
  <c r="F44" i="4"/>
  <c r="F46" i="4" s="1"/>
  <c r="D72" i="4"/>
  <c r="E62" i="4"/>
  <c r="E107" i="4"/>
  <c r="C72" i="4"/>
  <c r="E41" i="4"/>
  <c r="G62" i="4"/>
  <c r="G107" i="4"/>
  <c r="B46" i="4"/>
  <c r="F31" i="4"/>
  <c r="G41" i="4"/>
  <c r="E51" i="4"/>
  <c r="F62" i="4"/>
  <c r="F107" i="4"/>
  <c r="G16" i="4"/>
  <c r="D101" i="4"/>
  <c r="D102" i="4" s="1"/>
  <c r="C26" i="4"/>
  <c r="F16" i="4"/>
  <c r="G96" i="4"/>
  <c r="G97" i="4" s="1"/>
  <c r="G101" i="4"/>
  <c r="G102" i="4" s="1"/>
  <c r="G36" i="4"/>
  <c r="G86" i="4"/>
  <c r="G90" i="4" s="1"/>
  <c r="G92" i="4" s="1"/>
  <c r="F96" i="4"/>
  <c r="F97" i="4" s="1"/>
  <c r="F101" i="4"/>
  <c r="F102" i="4" s="1"/>
  <c r="F36" i="4"/>
  <c r="F86" i="4"/>
  <c r="F90" i="4" s="1"/>
  <c r="F92" i="4" s="1"/>
  <c r="B77" i="4"/>
  <c r="E46" i="4"/>
  <c r="D77" i="4"/>
  <c r="G77" i="4"/>
  <c r="C97" i="4"/>
  <c r="G51" i="4"/>
  <c r="G82" i="4"/>
  <c r="B82" i="4"/>
  <c r="D82" i="4"/>
  <c r="G26" i="4"/>
  <c r="F51" i="4"/>
  <c r="F82" i="4"/>
  <c r="B55" i="4"/>
  <c r="B57" i="4" s="1"/>
  <c r="F26" i="4"/>
  <c r="E77" i="4"/>
  <c r="D62" i="4"/>
  <c r="G6" i="4"/>
  <c r="E34" i="4"/>
  <c r="B6" i="4"/>
  <c r="C55" i="4"/>
  <c r="C57" i="4" s="1"/>
  <c r="D6" i="4"/>
  <c r="B41" i="4"/>
  <c r="C107" i="4"/>
  <c r="G72" i="4"/>
  <c r="C62" i="4"/>
  <c r="F6" i="4"/>
  <c r="E82" i="4"/>
  <c r="D55" i="4"/>
  <c r="D57" i="4" s="1"/>
  <c r="C46" i="4"/>
  <c r="C6" i="4"/>
  <c r="G27" i="1"/>
  <c r="F27" i="1"/>
  <c r="I27" i="1"/>
  <c r="G20" i="1"/>
  <c r="G29" i="1" s="1"/>
  <c r="E37" i="1"/>
  <c r="E9" i="1"/>
  <c r="E10" i="1" s="1"/>
  <c r="B20" i="1"/>
  <c r="B29" i="1" s="1"/>
  <c r="D37" i="1"/>
  <c r="C37" i="1"/>
  <c r="I20" i="1"/>
  <c r="F20" i="1"/>
  <c r="H20" i="1"/>
  <c r="H29" i="1" s="1"/>
  <c r="F10" i="1"/>
  <c r="G10" i="1"/>
  <c r="C9" i="1"/>
  <c r="C10" i="1" s="1"/>
  <c r="D9" i="1"/>
  <c r="D10" i="1" s="1"/>
  <c r="D85" i="4" s="1"/>
  <c r="D87" i="4" s="1"/>
  <c r="B9" i="1"/>
  <c r="B10" i="1" s="1"/>
  <c r="B85" i="4" s="1"/>
  <c r="C27" i="1"/>
  <c r="D27" i="1"/>
  <c r="E27" i="1"/>
  <c r="C20" i="1"/>
  <c r="D20" i="1"/>
  <c r="E20" i="1"/>
  <c r="C82" i="4"/>
  <c r="B36" i="4"/>
  <c r="B101" i="4"/>
  <c r="B102" i="4" s="1"/>
  <c r="B96" i="4"/>
  <c r="C101" i="4"/>
  <c r="C102" i="4" s="1"/>
  <c r="C36" i="4"/>
  <c r="B11" i="4"/>
  <c r="D11" i="4"/>
  <c r="C11" i="4"/>
  <c r="B26" i="4"/>
  <c r="B16" i="9" l="1"/>
  <c r="B18" i="9" s="1"/>
  <c r="B20" i="9" s="1"/>
  <c r="B22" i="9" s="1"/>
  <c r="E19" i="8"/>
  <c r="G87" i="4"/>
  <c r="F87" i="4"/>
  <c r="E96" i="4"/>
  <c r="E97" i="4" s="1"/>
  <c r="E101" i="4"/>
  <c r="E102" i="4" s="1"/>
  <c r="E36" i="4"/>
  <c r="E86" i="4"/>
  <c r="I29" i="1"/>
  <c r="F29" i="1"/>
  <c r="D14" i="4"/>
  <c r="C14" i="4"/>
  <c r="C85" i="4"/>
  <c r="C87" i="4" s="1"/>
  <c r="E29" i="1"/>
  <c r="D29" i="1"/>
  <c r="C29" i="1"/>
  <c r="B90" i="4"/>
  <c r="B86" i="4" s="1"/>
  <c r="B87" i="4" s="1"/>
  <c r="B97" i="4"/>
  <c r="E87" i="4" l="1"/>
  <c r="E90" i="4"/>
  <c r="E92" i="4" s="1"/>
  <c r="C15" i="4"/>
  <c r="C91" i="4" s="1"/>
  <c r="C92" i="4" s="1"/>
  <c r="B15" i="4"/>
  <c r="B91" i="4" s="1"/>
  <c r="B92" i="4" s="1"/>
  <c r="D15" i="4"/>
  <c r="D91" i="4" s="1"/>
  <c r="D92" i="4" s="1"/>
  <c r="D16" i="4" l="1"/>
  <c r="C16" i="4"/>
  <c r="B14" i="4" l="1"/>
  <c r="B16" i="4" s="1"/>
</calcChain>
</file>

<file path=xl/sharedStrings.xml><?xml version="1.0" encoding="utf-8"?>
<sst xmlns="http://schemas.openxmlformats.org/spreadsheetml/2006/main" count="1248" uniqueCount="419">
  <si>
    <t>Financial Statement for: AMAZON.COM INC</t>
  </si>
  <si>
    <t>Fiscal Years: 2021 to 2024</t>
  </si>
  <si>
    <t>BALANCE SHEET</t>
  </si>
  <si>
    <t>ASSETS</t>
  </si>
  <si>
    <t>Cash and Short-Term Investments</t>
  </si>
  <si>
    <t xml:space="preserve">            Cash</t>
  </si>
  <si>
    <t xml:space="preserve">            Short-Term Investments</t>
  </si>
  <si>
    <t>Receivables</t>
  </si>
  <si>
    <t xml:space="preserve">            Receivables - Trade</t>
  </si>
  <si>
    <t xml:space="preserve">            Income Tax Refund</t>
  </si>
  <si>
    <t xml:space="preserve">            Current Receivables - Other</t>
  </si>
  <si>
    <t>Inventories - Total</t>
  </si>
  <si>
    <t xml:space="preserve">            Inventories - Raw Materials</t>
  </si>
  <si>
    <t xml:space="preserve">            Inventories - Work in Process</t>
  </si>
  <si>
    <t xml:space="preserve">            Inventories - Finished Goods</t>
  </si>
  <si>
    <t xml:space="preserve">            Inventories - Other</t>
  </si>
  <si>
    <t>Current Assets - Other</t>
  </si>
  <si>
    <t xml:space="preserve">            Prepaid Expense</t>
  </si>
  <si>
    <t>.</t>
  </si>
  <si>
    <t xml:space="preserve">            Other Curr.Asst, Excl.Ppd.Exp.</t>
  </si>
  <si>
    <t>Current Assets - Total</t>
  </si>
  <si>
    <t>Prop.Plant &amp; Equip.- Total (Net)</t>
  </si>
  <si>
    <t xml:space="preserve">            P.P.&amp; E.- Total (Gross)</t>
  </si>
  <si>
    <t xml:space="preserve">            Deprec.Depl.&amp; Amort.</t>
  </si>
  <si>
    <t>Invest. &amp; Advances - Eq.Meth.</t>
  </si>
  <si>
    <t>Invest. &amp; Advances - Other</t>
  </si>
  <si>
    <t>Intangibles</t>
  </si>
  <si>
    <t>Assets - Other</t>
  </si>
  <si>
    <t xml:space="preserve">            Deferred Charges</t>
  </si>
  <si>
    <t xml:space="preserve">            Other Asst., Excl.Def.Chg.</t>
  </si>
  <si>
    <t>Assets - Total</t>
  </si>
  <si>
    <t>LIABILITIES</t>
  </si>
  <si>
    <t>Debt in Current Liabilities</t>
  </si>
  <si>
    <t xml:space="preserve">            Notes Payable</t>
  </si>
  <si>
    <t xml:space="preserve">            Debt - Due in One Year</t>
  </si>
  <si>
    <t>Accounts Payable</t>
  </si>
  <si>
    <t>Income Taxes Payable</t>
  </si>
  <si>
    <t>Current Liabilities - Other</t>
  </si>
  <si>
    <t xml:space="preserve">            Accrued Expense</t>
  </si>
  <si>
    <t xml:space="preserve">            Other Curr.Liab., Excl.Accr.Exp.</t>
  </si>
  <si>
    <t>Current Liabilities - Total</t>
  </si>
  <si>
    <t>Long-Term Debt - Total</t>
  </si>
  <si>
    <t xml:space="preserve">            Debt - Convertible (Total)</t>
  </si>
  <si>
    <t xml:space="preserve">            Debt - Subordinated Convertible</t>
  </si>
  <si>
    <t xml:space="preserve">            Debt - Senior Convertible</t>
  </si>
  <si>
    <t xml:space="preserve">            Debt - Subordinated</t>
  </si>
  <si>
    <t xml:space="preserve">            Debt - Notes</t>
  </si>
  <si>
    <t xml:space="preserve">            Debt - Debentures</t>
  </si>
  <si>
    <t xml:space="preserve">            Long-Term Debt - Other</t>
  </si>
  <si>
    <t xml:space="preserve">            Debt - Cap. Lease Oblig.</t>
  </si>
  <si>
    <t>Liabilities - Other</t>
  </si>
  <si>
    <t>Def. Taxes and Invest.Tax Cred.</t>
  </si>
  <si>
    <t xml:space="preserve">            Deferred Taxes</t>
  </si>
  <si>
    <t xml:space="preserve">            Investment Tax Credit</t>
  </si>
  <si>
    <t>Noncontrolling Interest - Redeemable</t>
  </si>
  <si>
    <t>Liabilities - Total</t>
  </si>
  <si>
    <t>SHAREHOLDERS' EQUITY</t>
  </si>
  <si>
    <t>Preferred Stock - Carrying Value</t>
  </si>
  <si>
    <t xml:space="preserve">            Pref. Stock - Redeemable</t>
  </si>
  <si>
    <t xml:space="preserve">            Pref. Stock - Nonredeemable</t>
  </si>
  <si>
    <t>Common Equity - Total</t>
  </si>
  <si>
    <t xml:space="preserve">            Common Stock</t>
  </si>
  <si>
    <t xml:space="preserve">            Capital Surplus</t>
  </si>
  <si>
    <t xml:space="preserve">            Retained Earnings</t>
  </si>
  <si>
    <t xml:space="preserve">            Less: Treas.Stock - Total $ Amt.</t>
  </si>
  <si>
    <t>Shareholders Equity - Parent</t>
  </si>
  <si>
    <t>Noncontrolling Interest - Nonredeemable</t>
  </si>
  <si>
    <t>Shareholders Equity - Total</t>
  </si>
  <si>
    <t>Total Liabilities and Shareholders Equity</t>
  </si>
  <si>
    <t>INCOME STATEMENT</t>
  </si>
  <si>
    <t>Sales (Net)</t>
  </si>
  <si>
    <t>Cost of Goods Sold</t>
  </si>
  <si>
    <t>Selling, General, and Administrative Expense</t>
  </si>
  <si>
    <t>Operating Income Before Depreciation</t>
  </si>
  <si>
    <t>Depreciation and Amortization</t>
  </si>
  <si>
    <t xml:space="preserve">            Amortization of Intangibles</t>
  </si>
  <si>
    <t xml:space="preserve">            Depreciation Expense (Schedule VI)</t>
  </si>
  <si>
    <t xml:space="preserve">            Depletion Expense (Schedule VI)</t>
  </si>
  <si>
    <t>Operating Income After Depreciation</t>
  </si>
  <si>
    <t>Interest Expense</t>
  </si>
  <si>
    <t>Nonoperating Income (Expense)</t>
  </si>
  <si>
    <t xml:space="preserve">            Nonoperating Income (Expense) - Excluding Interest Income</t>
  </si>
  <si>
    <t xml:space="preserve">            Interest Income</t>
  </si>
  <si>
    <t>Special Items</t>
  </si>
  <si>
    <t>Pretax Income</t>
  </si>
  <si>
    <t xml:space="preserve">            Pretax Income - Domestic</t>
  </si>
  <si>
    <t xml:space="preserve">            Pretax Income - Foreign</t>
  </si>
  <si>
    <t>Income Taxes - Total</t>
  </si>
  <si>
    <t xml:space="preserve">            Deferred Taxes (Income Account)</t>
  </si>
  <si>
    <t xml:space="preserve">                        Deferred Taxes - Federal</t>
  </si>
  <si>
    <t xml:space="preserve">                        Deferred Taxes - Foreign</t>
  </si>
  <si>
    <t xml:space="preserve">                        Deferred Taxes - State</t>
  </si>
  <si>
    <t xml:space="preserve">            Income Taxes - Federal</t>
  </si>
  <si>
    <t xml:space="preserve">            Income Taxes - Foreign</t>
  </si>
  <si>
    <t xml:space="preserve">            Income Taxes - State</t>
  </si>
  <si>
    <t xml:space="preserve">            Income Taxes - Other</t>
  </si>
  <si>
    <t>Minority Interest</t>
  </si>
  <si>
    <t>Income Before Extraordinary Items</t>
  </si>
  <si>
    <t>Dividends - Preferred</t>
  </si>
  <si>
    <t>Income Before Extraordinary Items - Available for Common</t>
  </si>
  <si>
    <t>Common Stock Equivalents - Dollar Savings</t>
  </si>
  <si>
    <t>Income Before Extraordinary Items - Adjusted for Common Stock Equivalents</t>
  </si>
  <si>
    <t>Extraordinary Items and Discontinued Operations</t>
  </si>
  <si>
    <t xml:space="preserve">            Extraordinary Items</t>
  </si>
  <si>
    <t xml:space="preserve">            Discounted Operations</t>
  </si>
  <si>
    <t>Net Income Adjusted for Common Stock Equivalents</t>
  </si>
  <si>
    <t>Net Income (Loss)</t>
  </si>
  <si>
    <t>STATEMENT OF CASH FLOWS</t>
  </si>
  <si>
    <t>INDIRECT OPERATING ACTIVITIES</t>
  </si>
  <si>
    <t>Deferred Taxes</t>
  </si>
  <si>
    <t>Equity in Net Loss (Earnings)</t>
  </si>
  <si>
    <t>Sale of Property, Plant, and Equipment and Sale of Investments - Loss (Gain)</t>
  </si>
  <si>
    <t>Funds from Operations - Other</t>
  </si>
  <si>
    <t>Accounts Receivable - Decrease (Increase)</t>
  </si>
  <si>
    <t>Inventory - Decrease (Increase)</t>
  </si>
  <si>
    <t>Accounts Payable and Accrued Liabilities - Increase (Decrease)</t>
  </si>
  <si>
    <t>Income Taxes - Accrued - Increase (Decrease)</t>
  </si>
  <si>
    <t>Assets and Liablities - Other (Net Change)</t>
  </si>
  <si>
    <t>Operating Activities - Net Cash Flow</t>
  </si>
  <si>
    <t>INVESTING ACTIVITIES</t>
  </si>
  <si>
    <t>Increase in Investments</t>
  </si>
  <si>
    <t>Sale of Investments</t>
  </si>
  <si>
    <t>Short-Term Investments - Change</t>
  </si>
  <si>
    <t>Capital Expenditures</t>
  </si>
  <si>
    <t>Sale of Property, Plant, and Equipment</t>
  </si>
  <si>
    <t>Acquisitions</t>
  </si>
  <si>
    <t>Investing Activities - Other</t>
  </si>
  <si>
    <t>Investing Activities - Net Cash Flow</t>
  </si>
  <si>
    <t>FINANCING ACTIVITIES</t>
  </si>
  <si>
    <t>Sale of Common and Preferred Stock</t>
  </si>
  <si>
    <t>Purchase of Common and Preferred Stock</t>
  </si>
  <si>
    <t>Cash Dividends</t>
  </si>
  <si>
    <t>Long Term Debt - Issuance</t>
  </si>
  <si>
    <t>Long Term Debt - Reduction</t>
  </si>
  <si>
    <t>Changes in Current Debt</t>
  </si>
  <si>
    <t>Financing Activities - Other</t>
  </si>
  <si>
    <t>Financing Activities - Net Cash Flow</t>
  </si>
  <si>
    <t>Exchange Rate Effect</t>
  </si>
  <si>
    <t>Cash and Cash Equivalents - Increase (Decrease)</t>
  </si>
  <si>
    <t>DIRECT OPERATING ACTIVITIES</t>
  </si>
  <si>
    <t>Interest Paid Net</t>
  </si>
  <si>
    <t>Income Taxes Paid</t>
  </si>
  <si>
    <t>ADDITIONAL SCHEDULES</t>
  </si>
  <si>
    <t>Acquisitions - Income Contribution</t>
  </si>
  <si>
    <t>Acquisitions - Sales Contribution</t>
  </si>
  <si>
    <t>Adjustmnet Factor-Cum, Ex-Date</t>
  </si>
  <si>
    <t>Advertising Expense</t>
  </si>
  <si>
    <t>Average Short Term Borrowing Rate</t>
  </si>
  <si>
    <t>Average Short term Borrowing</t>
  </si>
  <si>
    <t>Common Shareholders (# of)</t>
  </si>
  <si>
    <t>Common Shares Traded (Calendar Yr)</t>
  </si>
  <si>
    <t>Compensating Balance</t>
  </si>
  <si>
    <t>Convertible Debt and Preferred Stock</t>
  </si>
  <si>
    <t>Debt (Long Term) Maturing Due in 2 Years</t>
  </si>
  <si>
    <t>Debt (Long Term) Maturing Due in 3 Years</t>
  </si>
  <si>
    <t>Debt (Long Term) Maturing Due in 4 Years Years</t>
  </si>
  <si>
    <t>Debt (Long Term) Maturing Due in 5 Years</t>
  </si>
  <si>
    <t>Debt - Long-Term Debt - Tied to Prime</t>
  </si>
  <si>
    <t>Debt - Mortgages and Other Securities</t>
  </si>
  <si>
    <t>Debt - Unamortized Debt Discount and Other</t>
  </si>
  <si>
    <t>Dividends (Cash)per Share Ex-Date</t>
  </si>
  <si>
    <t>Dividends (Cash) - Common</t>
  </si>
  <si>
    <t>Dividends (Cash) - Preferred</t>
  </si>
  <si>
    <t>Employees (# of)</t>
  </si>
  <si>
    <t>Equity in Earnings - Unconsolidated Subs</t>
  </si>
  <si>
    <t>Foreign Currency Translation Adj - Bal. Sheet</t>
  </si>
  <si>
    <t>Foreign Currency Translation Adj - Inc. Stmnt.</t>
  </si>
  <si>
    <t>Interest Capitalized (in fiscal yr)</t>
  </si>
  <si>
    <t>Interest Capitalized - Net Income Effect</t>
  </si>
  <si>
    <t>Interest Expense on Long Term Debt</t>
  </si>
  <si>
    <t>Investment Tax Credit</t>
  </si>
  <si>
    <t>Labor Related Expenses</t>
  </si>
  <si>
    <t>LIFO Reserve</t>
  </si>
  <si>
    <t>Order Backlog</t>
  </si>
  <si>
    <t>Preferred Stock - Dividends In Arrears</t>
  </si>
  <si>
    <t>Preferred Stock - Liquidation Value</t>
  </si>
  <si>
    <t>Preferred Stock - Redemption Value</t>
  </si>
  <si>
    <t>Present Value - Noncapitalized Leases</t>
  </si>
  <si>
    <t>Price - Calendar Year Close</t>
  </si>
  <si>
    <t>Price - Calendar Year High</t>
  </si>
  <si>
    <t>Price - Calendar Year Low</t>
  </si>
  <si>
    <t>Price - Fiscal Year Close</t>
  </si>
  <si>
    <t>Receivables - Estimated Doubtful</t>
  </si>
  <si>
    <t>Rental Commitments - Minimum Year+1</t>
  </si>
  <si>
    <t>Rental Commitments - Minimum Year+2</t>
  </si>
  <si>
    <t>Rental Commitments - Minimum Year+3</t>
  </si>
  <si>
    <t>Rental Commitments - Minimum Year+4</t>
  </si>
  <si>
    <t>Rental Commitments - Minimum Year+5</t>
  </si>
  <si>
    <t>Rental Expense</t>
  </si>
  <si>
    <t>Rental Income</t>
  </si>
  <si>
    <t>Research and Development Expense</t>
  </si>
  <si>
    <t>Tax Loss Carry Forward</t>
  </si>
  <si>
    <t>Treasury Stock ($) - Common</t>
  </si>
  <si>
    <t>Treasury Stock ($) - Preferred</t>
  </si>
  <si>
    <t>Treasury Stock - # Shares</t>
  </si>
  <si>
    <t>ADDITIONAL DATA</t>
  </si>
  <si>
    <t>Receivables - Trade</t>
  </si>
  <si>
    <t>Income Tax Refund</t>
  </si>
  <si>
    <t>Receivables - Other - Current</t>
  </si>
  <si>
    <t>Receivables - Total (Net)</t>
  </si>
  <si>
    <t>Inventories - Raw Materials</t>
  </si>
  <si>
    <t>Inventories - Work In Process</t>
  </si>
  <si>
    <t>Inventories - Finished Goods</t>
  </si>
  <si>
    <t>Inventories - Other</t>
  </si>
  <si>
    <t>LESS: Debt (Long Term) Due In One Year</t>
  </si>
  <si>
    <t>Debt - Convertible Subordinated</t>
  </si>
  <si>
    <t>Debt - Senior Convertible</t>
  </si>
  <si>
    <t>Debt - Subordinated</t>
  </si>
  <si>
    <t>Debt - Notes</t>
  </si>
  <si>
    <t>Debt - Debentures</t>
  </si>
  <si>
    <t>Debt - Long Term - Other</t>
  </si>
  <si>
    <t>Debt - Capitalized Lease Obligations</t>
  </si>
  <si>
    <t>Long Term Debt Total</t>
  </si>
  <si>
    <t>PROPERTY, PLANT AND EQUIPMENT (COST)</t>
  </si>
  <si>
    <t>Beginning Balance</t>
  </si>
  <si>
    <t>Retirements</t>
  </si>
  <si>
    <t>Other Changes</t>
  </si>
  <si>
    <t>Ending Balance</t>
  </si>
  <si>
    <t>ACCUMULATED DEPRECIATION ON PPE</t>
  </si>
  <si>
    <t>Depreciation Expense</t>
  </si>
  <si>
    <t>Depletion Expense</t>
  </si>
  <si>
    <t>Deferred Taxes - Federal</t>
  </si>
  <si>
    <t>Deferred Taxes - Foreign</t>
  </si>
  <si>
    <t>Deferred Taxes - State</t>
  </si>
  <si>
    <t>Income Taxes - Federal</t>
  </si>
  <si>
    <t>Income Taxes - Foreign</t>
  </si>
  <si>
    <t>Income Taxes - State</t>
  </si>
  <si>
    <t>Income Taxes - Other</t>
  </si>
  <si>
    <t>COMMON SHARES RESERVED FOR CONVERSION</t>
  </si>
  <si>
    <t>Convertible Debt</t>
  </si>
  <si>
    <t>Preferred Stock</t>
  </si>
  <si>
    <t>Stock Options</t>
  </si>
  <si>
    <t>Warrants and Other</t>
  </si>
  <si>
    <t>Total</t>
  </si>
  <si>
    <t>INPUTS INTO FINANCIAL STATEMENT</t>
  </si>
  <si>
    <t>Cash &amp; Equivalents</t>
  </si>
  <si>
    <t>Prepaid Expenses</t>
  </si>
  <si>
    <t>Plant, Property &amp; Equip (Gross)</t>
  </si>
  <si>
    <t>Accumulated Depreciation</t>
  </si>
  <si>
    <t>Plant, Property &amp; Equip (Net)</t>
  </si>
  <si>
    <t>Investments at Equity</t>
  </si>
  <si>
    <t>Investments and Advances - Other</t>
  </si>
  <si>
    <t>Deferred Charges</t>
  </si>
  <si>
    <t>TOTAL ASSETS</t>
  </si>
  <si>
    <t>Notes Payable</t>
  </si>
  <si>
    <t>Accrued Expenses</t>
  </si>
  <si>
    <t>Taxes Payable</t>
  </si>
  <si>
    <t>Debt (Long-Term) Due In One Year</t>
  </si>
  <si>
    <t>Other Current Liabilities</t>
  </si>
  <si>
    <t>Total Current Liabilities</t>
  </si>
  <si>
    <t>Long Term Debt</t>
  </si>
  <si>
    <t>Deferred Taxes (Balance Sheet)</t>
  </si>
  <si>
    <t>TOTAL LIABILITIES</t>
  </si>
  <si>
    <t>Common Stock</t>
  </si>
  <si>
    <t>Capital Surplus</t>
  </si>
  <si>
    <t>Retained Earnings (Net Other)</t>
  </si>
  <si>
    <t>Less: Treasury Stock</t>
  </si>
  <si>
    <t>TOTAL SHAREHOLDERS EQUITY</t>
  </si>
  <si>
    <t>Gross Profit</t>
  </si>
  <si>
    <t>Selling, General, &amp; Admin Expenses</t>
  </si>
  <si>
    <t>Depreciation, Depletion, &amp; Amortization</t>
  </si>
  <si>
    <t>Non-Operating Income/Expense</t>
  </si>
  <si>
    <t>INCOME BEFORE EI&amp;DO</t>
  </si>
  <si>
    <t>Extraordinary Items</t>
  </si>
  <si>
    <t>Discontinued Operations</t>
  </si>
  <si>
    <t>Preferred Dividends</t>
  </si>
  <si>
    <t>EPS - Primary - Excluding EI&amp;DO</t>
  </si>
  <si>
    <t>EPS - Primary - Including EI&amp;DO</t>
  </si>
  <si>
    <t>EPS - Fully Diluted - Excluding EI&amp;DO</t>
  </si>
  <si>
    <t>EPS - Fully Diluted - Including EI&amp;DO</t>
  </si>
  <si>
    <t>SHARES - for Primary EPS Calculation</t>
  </si>
  <si>
    <t>SHARES - for Fully Diluted EPS Calculation</t>
  </si>
  <si>
    <t>SHARES - Outstanding at Fiscal Year End</t>
  </si>
  <si>
    <t>Sale of Property Plant and Equipment</t>
  </si>
  <si>
    <t>Investing Activites - Net Cash Flow</t>
  </si>
  <si>
    <t>CASH STATEMENT - SOURCE &amp; USE</t>
  </si>
  <si>
    <t>Interest Paid - Net</t>
  </si>
  <si>
    <t>Funds From Operations - Total</t>
  </si>
  <si>
    <t>Current Debt - Changes</t>
  </si>
  <si>
    <t>Working Capital Changes - Other - Inc(Dec)</t>
  </si>
  <si>
    <t>Financial Statement for: WALMART INC</t>
  </si>
  <si>
    <t>EBIT</t>
  </si>
  <si>
    <t>Amazon</t>
  </si>
  <si>
    <t>Particulars</t>
  </si>
  <si>
    <t>Walmart</t>
  </si>
  <si>
    <t>Return on Equity (ROE)</t>
  </si>
  <si>
    <t>Average Equity</t>
  </si>
  <si>
    <t>ROE</t>
  </si>
  <si>
    <t>Net Income/(Loss)</t>
  </si>
  <si>
    <t>Return on Asset (ROA)</t>
  </si>
  <si>
    <t>Average Total Asset</t>
  </si>
  <si>
    <t>ROA</t>
  </si>
  <si>
    <t xml:space="preserve"> Return on net operating assets (RNOA)</t>
  </si>
  <si>
    <t>Net Operating Profit After Tax</t>
  </si>
  <si>
    <t>Average Net Operating Asset</t>
  </si>
  <si>
    <t>Account Recievable Turnover</t>
  </si>
  <si>
    <t>Sales</t>
  </si>
  <si>
    <t>Average Account Recievable</t>
  </si>
  <si>
    <t xml:space="preserve">RNOA </t>
  </si>
  <si>
    <t>ARTO</t>
  </si>
  <si>
    <t>Account Payable Turnover</t>
  </si>
  <si>
    <t>Average Account Payable</t>
  </si>
  <si>
    <t>APTO</t>
  </si>
  <si>
    <t>PPE Turnover</t>
  </si>
  <si>
    <t>Average PPE Asset</t>
  </si>
  <si>
    <t>PPETO</t>
  </si>
  <si>
    <t>Times Interest Earned</t>
  </si>
  <si>
    <t>Interest Expenses</t>
  </si>
  <si>
    <t>TIE</t>
  </si>
  <si>
    <t>EBITDA Coverage Ratio</t>
  </si>
  <si>
    <t>EBIT+Depreciation+ Amortization</t>
  </si>
  <si>
    <t>Operating Cashflow To Debt</t>
  </si>
  <si>
    <t>Cash From Operation</t>
  </si>
  <si>
    <t>Short term Debt + Long Term Debt</t>
  </si>
  <si>
    <t>Free Cash Flow to Debt</t>
  </si>
  <si>
    <t>Capex</t>
  </si>
  <si>
    <t>Cash From Operation -  Capex</t>
  </si>
  <si>
    <t>Current Ratio</t>
  </si>
  <si>
    <t>Current Asset</t>
  </si>
  <si>
    <t>Current Liabilities</t>
  </si>
  <si>
    <t>Quick ratios</t>
  </si>
  <si>
    <t>Cash+Marketable Securities+Account Recievable</t>
  </si>
  <si>
    <t>Liabilities to Equity Ratios</t>
  </si>
  <si>
    <t>Total Liabilities</t>
  </si>
  <si>
    <t>Stockholders Equity</t>
  </si>
  <si>
    <t>Total Debt To equity Ratio</t>
  </si>
  <si>
    <t>Long term debt + Short term Debt</t>
  </si>
  <si>
    <t>Financial Leverage</t>
  </si>
  <si>
    <t>Average Shareholder's Equity</t>
  </si>
  <si>
    <t>Net Operating Profit Margin(NOPM)</t>
  </si>
  <si>
    <t>Net Operating Profit After Tax(NOPAT)</t>
  </si>
  <si>
    <t>Net Operating Asset Turnover</t>
  </si>
  <si>
    <t>Average Net Operating Assset</t>
  </si>
  <si>
    <t>Gross Profit Margin</t>
  </si>
  <si>
    <t>Sales-COGS</t>
  </si>
  <si>
    <t>Operating Expenses Margin</t>
  </si>
  <si>
    <t>Operating Profit After Depreciation</t>
  </si>
  <si>
    <t>Profit Margin</t>
  </si>
  <si>
    <t>Net Income</t>
  </si>
  <si>
    <t>OEM</t>
  </si>
  <si>
    <t>GPM</t>
  </si>
  <si>
    <t>FL</t>
  </si>
  <si>
    <t>LER</t>
  </si>
  <si>
    <t>QR</t>
  </si>
  <si>
    <t>NOPAT</t>
  </si>
  <si>
    <t>Net Operating Assets (A-B)</t>
  </si>
  <si>
    <t xml:space="preserve">Accounts Receivable </t>
  </si>
  <si>
    <t>Inventories</t>
  </si>
  <si>
    <t>Other Current Assets</t>
  </si>
  <si>
    <t>PPE</t>
  </si>
  <si>
    <t>Goodwill and Intangible assets.</t>
  </si>
  <si>
    <t>Other Long-Term assets.</t>
  </si>
  <si>
    <t>Accrued Liabilities</t>
  </si>
  <si>
    <t>Total Operating Assets  (A)</t>
  </si>
  <si>
    <t xml:space="preserve">Operating Asset </t>
  </si>
  <si>
    <t xml:space="preserve">Operating Liabilities </t>
  </si>
  <si>
    <t>Total Operating Liabilities (B)</t>
  </si>
  <si>
    <t>Other Long term Liabilities</t>
  </si>
  <si>
    <t>Tax Expense</t>
  </si>
  <si>
    <t>(less) Tax on Operating Profit</t>
  </si>
  <si>
    <t>Pretax non operating expense</t>
  </si>
  <si>
    <t>Statutary Tax Rate</t>
  </si>
  <si>
    <t>NOPM</t>
  </si>
  <si>
    <t>short term Debt</t>
  </si>
  <si>
    <t>Long term Debt</t>
  </si>
  <si>
    <t>Total Debt</t>
  </si>
  <si>
    <t>Deferred Tax Liabilities</t>
  </si>
  <si>
    <t>FCFD</t>
  </si>
  <si>
    <t>Inventory Turnover Ratio</t>
  </si>
  <si>
    <t>Cost of Goods Sold(COGS)</t>
  </si>
  <si>
    <t>Average Inventory</t>
  </si>
  <si>
    <t>Particular</t>
  </si>
  <si>
    <t>Traditional Dupont Disaggregation</t>
  </si>
  <si>
    <t>Return On Earning</t>
  </si>
  <si>
    <t>Return on Asset</t>
  </si>
  <si>
    <t>Financial leverage</t>
  </si>
  <si>
    <t>RNOA Disaggregation by NOPM And NOAT</t>
  </si>
  <si>
    <t>NOAT</t>
  </si>
  <si>
    <t>RNOA</t>
  </si>
  <si>
    <t>Operating Efficiency</t>
  </si>
  <si>
    <t>Productivity Ratios Analysis</t>
  </si>
  <si>
    <t>Ratio</t>
  </si>
  <si>
    <t>Days Sales outstanding</t>
  </si>
  <si>
    <t>Days Inventories Outstanding</t>
  </si>
  <si>
    <t>360*(Average Inventory/Sales)</t>
  </si>
  <si>
    <t>Days Payable Outstanding</t>
  </si>
  <si>
    <t>360*(Average Account Payable/Sales)</t>
  </si>
  <si>
    <t>Cash Conversion Cycle</t>
  </si>
  <si>
    <t>Cash Conversion Cycle for Amazon</t>
  </si>
  <si>
    <t>Cash Conversion Cycle for Walmart</t>
  </si>
  <si>
    <t>Formulae</t>
  </si>
  <si>
    <t>weight</t>
  </si>
  <si>
    <t>Working Capital</t>
  </si>
  <si>
    <t>Total Asset</t>
  </si>
  <si>
    <t>Earning Before Income and Tax</t>
  </si>
  <si>
    <t>Market Value of Equity</t>
  </si>
  <si>
    <t>Credit Rating for Amazon -Z -Score</t>
  </si>
  <si>
    <t>Retained Earnings</t>
  </si>
  <si>
    <t>360*(Average Account Receivable/Sales)</t>
  </si>
  <si>
    <t xml:space="preserve"> Valuation As per Discounted Cashflow Method(DCF)</t>
  </si>
  <si>
    <t>Terminal Growth Rate</t>
  </si>
  <si>
    <t>Terminal Growth</t>
  </si>
  <si>
    <t>Increase in NOA</t>
  </si>
  <si>
    <t>Free Cashflow</t>
  </si>
  <si>
    <t>Present Value of Horizon Freecashflow</t>
  </si>
  <si>
    <t>Cum.Present Value Of Horizon Free Cashflow</t>
  </si>
  <si>
    <t xml:space="preserve">Present Value Of Terminal Free cash flow </t>
  </si>
  <si>
    <t>Total Firm Value</t>
  </si>
  <si>
    <t>Net non-operating Obligation</t>
  </si>
  <si>
    <t>Firm Equity Value</t>
  </si>
  <si>
    <t>Share Outstanding</t>
  </si>
  <si>
    <t>Stock Price Per Share</t>
  </si>
  <si>
    <t>Cost of Capital (WACC)</t>
  </si>
  <si>
    <t>Sales growth rate = 2.5%</t>
  </si>
  <si>
    <t>Net-Operating Profit After Tax</t>
  </si>
  <si>
    <t>Net-Operating Asset</t>
  </si>
  <si>
    <t>Non Operating Asset</t>
  </si>
  <si>
    <t>Non Operating Liablities</t>
  </si>
  <si>
    <t>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</si>
</sst>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##,###,##0.000"/>
    <numFmt numFmtId="165" formatCode="#,##0.000"/>
    <numFmt numFmtId="166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1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2">
    <xf numFmtId="0" fontId="0" fillId="0" borderId="0" xfId="0"/>
    <xf numFmtId="0" fontId="4" fillId="0" borderId="0" xfId="3" applyFont="1" applyFill="1" applyBorder="1" applyAlignment="1" applyProtection="1"/>
    <xf numFmtId="0" fontId="3" fillId="0" borderId="0" xfId="3"/>
    <xf numFmtId="0" fontId="4" fillId="2" borderId="0" xfId="3" applyFont="1" applyFill="1" applyBorder="1" applyAlignment="1" applyProtection="1"/>
    <xf numFmtId="0" fontId="3" fillId="0" borderId="0" xfId="3" applyFill="1" applyBorder="1" applyAlignment="1" applyProtection="1"/>
    <xf numFmtId="164" fontId="3" fillId="0" borderId="0" xfId="3" applyNumberFormat="1" applyFill="1" applyBorder="1" applyAlignment="1" applyProtection="1"/>
    <xf numFmtId="0" fontId="2" fillId="0" borderId="0" xfId="0" applyFont="1"/>
    <xf numFmtId="0" fontId="2" fillId="3" borderId="1" xfId="0" applyFont="1" applyFill="1" applyBorder="1"/>
    <xf numFmtId="0" fontId="5" fillId="0" borderId="0" xfId="3" applyFont="1" applyFill="1" applyBorder="1" applyAlignment="1" applyProtection="1"/>
    <xf numFmtId="164" fontId="5" fillId="0" borderId="0" xfId="3" applyNumberFormat="1" applyFont="1" applyFill="1" applyBorder="1" applyAlignment="1" applyProtection="1"/>
    <xf numFmtId="165" fontId="3" fillId="0" borderId="0" xfId="3" applyNumberFormat="1"/>
    <xf numFmtId="0" fontId="3" fillId="0" borderId="1" xfId="0" applyFont="1" applyBorder="1"/>
    <xf numFmtId="0" fontId="0" fillId="0" borderId="1" xfId="0" applyBorder="1"/>
    <xf numFmtId="43" fontId="1" fillId="0" borderId="1" xfId="1" applyFont="1" applyBorder="1"/>
    <xf numFmtId="43" fontId="0" fillId="0" borderId="1" xfId="1" applyFont="1" applyBorder="1"/>
    <xf numFmtId="0" fontId="2" fillId="0" borderId="1" xfId="0" applyFont="1" applyBorder="1"/>
    <xf numFmtId="43" fontId="2" fillId="0" borderId="1" xfId="0" applyNumberFormat="1" applyFont="1" applyBorder="1"/>
    <xf numFmtId="43" fontId="0" fillId="0" borderId="1" xfId="0" applyNumberFormat="1" applyBorder="1"/>
    <xf numFmtId="9" fontId="0" fillId="0" borderId="1" xfId="0" applyNumberFormat="1" applyBorder="1"/>
    <xf numFmtId="0" fontId="2" fillId="0" borderId="7" xfId="0" applyFont="1" applyBorder="1"/>
    <xf numFmtId="0" fontId="2" fillId="3" borderId="8" xfId="0" applyFont="1" applyFill="1" applyBorder="1"/>
    <xf numFmtId="0" fontId="0" fillId="0" borderId="7" xfId="0" applyBorder="1"/>
    <xf numFmtId="43" fontId="0" fillId="0" borderId="0" xfId="1" applyFont="1" applyBorder="1"/>
    <xf numFmtId="43" fontId="0" fillId="0" borderId="9" xfId="1" applyFont="1" applyBorder="1"/>
    <xf numFmtId="43" fontId="2" fillId="0" borderId="0" xfId="1" applyFont="1" applyBorder="1"/>
    <xf numFmtId="43" fontId="2" fillId="0" borderId="9" xfId="1" applyFont="1" applyBorder="1"/>
    <xf numFmtId="0" fontId="0" fillId="0" borderId="9" xfId="0" applyBorder="1"/>
    <xf numFmtId="43" fontId="2" fillId="0" borderId="0" xfId="0" applyNumberFormat="1" applyFont="1"/>
    <xf numFmtId="43" fontId="2" fillId="0" borderId="9" xfId="0" applyNumberFormat="1" applyFont="1" applyBorder="1"/>
    <xf numFmtId="0" fontId="2" fillId="0" borderId="10" xfId="0" applyFont="1" applyBorder="1"/>
    <xf numFmtId="43" fontId="2" fillId="0" borderId="11" xfId="0" applyNumberFormat="1" applyFont="1" applyBorder="1"/>
    <xf numFmtId="43" fontId="2" fillId="0" borderId="12" xfId="0" applyNumberFormat="1" applyFont="1" applyBorder="1"/>
    <xf numFmtId="0" fontId="2" fillId="3" borderId="13" xfId="0" applyFont="1" applyFill="1" applyBorder="1"/>
    <xf numFmtId="0" fontId="2" fillId="0" borderId="2" xfId="0" applyFont="1" applyBorder="1"/>
    <xf numFmtId="0" fontId="0" fillId="0" borderId="15" xfId="0" applyBorder="1"/>
    <xf numFmtId="0" fontId="0" fillId="0" borderId="16" xfId="0" applyBorder="1"/>
    <xf numFmtId="0" fontId="2" fillId="0" borderId="14" xfId="0" applyFont="1" applyBorder="1"/>
    <xf numFmtId="0" fontId="2" fillId="4" borderId="7" xfId="0" applyFont="1" applyFill="1" applyBorder="1"/>
    <xf numFmtId="43" fontId="1" fillId="0" borderId="0" xfId="1" applyFont="1" applyBorder="1"/>
    <xf numFmtId="0" fontId="0" fillId="0" borderId="7" xfId="0" applyBorder="1" applyAlignment="1">
      <alignment horizontal="right"/>
    </xf>
    <xf numFmtId="43" fontId="0" fillId="0" borderId="0" xfId="0" applyNumberFormat="1"/>
    <xf numFmtId="0" fontId="2" fillId="0" borderId="7" xfId="0" applyFont="1" applyBorder="1" applyAlignment="1">
      <alignment horizontal="right"/>
    </xf>
    <xf numFmtId="10" fontId="2" fillId="0" borderId="0" xfId="2" applyNumberFormat="1" applyFont="1" applyBorder="1"/>
    <xf numFmtId="10" fontId="2" fillId="0" borderId="9" xfId="2" applyNumberFormat="1" applyFont="1" applyBorder="1"/>
    <xf numFmtId="43" fontId="0" fillId="0" borderId="9" xfId="0" applyNumberFormat="1" applyBorder="1"/>
    <xf numFmtId="2" fontId="2" fillId="0" borderId="0" xfId="0" applyNumberFormat="1" applyFont="1"/>
    <xf numFmtId="2" fontId="2" fillId="0" borderId="9" xfId="0" applyNumberFormat="1" applyFont="1" applyBorder="1"/>
    <xf numFmtId="166" fontId="2" fillId="0" borderId="0" xfId="0" applyNumberFormat="1" applyFont="1"/>
    <xf numFmtId="166" fontId="2" fillId="0" borderId="9" xfId="0" applyNumberFormat="1" applyFont="1" applyBorder="1"/>
    <xf numFmtId="0" fontId="2" fillId="0" borderId="10" xfId="0" applyFont="1" applyBorder="1" applyAlignment="1">
      <alignment horizontal="right"/>
    </xf>
    <xf numFmtId="10" fontId="2" fillId="0" borderId="11" xfId="2" applyNumberFormat="1" applyFont="1" applyBorder="1"/>
    <xf numFmtId="10" fontId="2" fillId="0" borderId="12" xfId="2" applyNumberFormat="1" applyFont="1" applyBorder="1"/>
    <xf numFmtId="0" fontId="2" fillId="4" borderId="7" xfId="0" applyFont="1" applyFill="1" applyBorder="1" applyAlignment="1">
      <alignment horizontal="left"/>
    </xf>
    <xf numFmtId="43" fontId="1" fillId="0" borderId="9" xfId="1" applyFont="1" applyBorder="1"/>
    <xf numFmtId="10" fontId="0" fillId="0" borderId="0" xfId="0" applyNumberFormat="1"/>
    <xf numFmtId="10" fontId="0" fillId="0" borderId="1" xfId="0" applyNumberFormat="1" applyBorder="1"/>
    <xf numFmtId="2" fontId="0" fillId="0" borderId="1" xfId="0" applyNumberFormat="1" applyBorder="1"/>
    <xf numFmtId="10" fontId="0" fillId="0" borderId="1" xfId="2" applyNumberFormat="1" applyFont="1" applyBorder="1"/>
    <xf numFmtId="0" fontId="3" fillId="0" borderId="14" xfId="0" applyFont="1" applyBorder="1"/>
    <xf numFmtId="0" fontId="2" fillId="0" borderId="8" xfId="0" applyFont="1" applyBorder="1"/>
    <xf numFmtId="0" fontId="0" fillId="0" borderId="8" xfId="0" applyBorder="1"/>
    <xf numFmtId="10" fontId="0" fillId="0" borderId="8" xfId="0" applyNumberFormat="1" applyBorder="1"/>
    <xf numFmtId="2" fontId="0" fillId="0" borderId="8" xfId="0" applyNumberFormat="1" applyBorder="1"/>
    <xf numFmtId="10" fontId="0" fillId="0" borderId="8" xfId="2" applyNumberFormat="1" applyFont="1" applyBorder="1"/>
    <xf numFmtId="0" fontId="0" fillId="0" borderId="20" xfId="0" applyBorder="1"/>
    <xf numFmtId="10" fontId="0" fillId="0" borderId="20" xfId="2" applyNumberFormat="1" applyFont="1" applyBorder="1"/>
    <xf numFmtId="10" fontId="0" fillId="0" borderId="21" xfId="2" applyNumberFormat="1" applyFont="1" applyBorder="1"/>
    <xf numFmtId="0" fontId="2" fillId="6" borderId="1" xfId="0" applyFont="1" applyFill="1" applyBorder="1"/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4" xfId="0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166" fontId="0" fillId="0" borderId="1" xfId="0" applyNumberFormat="1" applyBorder="1"/>
    <xf numFmtId="0" fontId="4" fillId="6" borderId="1" xfId="0" applyFont="1" applyFill="1" applyBorder="1"/>
    <xf numFmtId="0" fontId="2" fillId="6" borderId="22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14" xfId="0" applyFont="1" applyFill="1" applyBorder="1"/>
    <xf numFmtId="0" fontId="2" fillId="6" borderId="8" xfId="0" applyFont="1" applyFill="1" applyBorder="1"/>
    <xf numFmtId="0" fontId="0" fillId="0" borderId="14" xfId="0" applyBorder="1"/>
    <xf numFmtId="0" fontId="0" fillId="0" borderId="19" xfId="0" applyBorder="1"/>
    <xf numFmtId="0" fontId="0" fillId="0" borderId="21" xfId="0" applyBorder="1"/>
    <xf numFmtId="0" fontId="3" fillId="0" borderId="0" xfId="0" applyFont="1"/>
    <xf numFmtId="0" fontId="3" fillId="0" borderId="0" xfId="0" applyFont="1"/>
    <xf numFmtId="0" fontId="0" fillId="0" borderId="0" xfId="0"/>
    <xf numFmtId="9" fontId="0" fillId="0" borderId="0" xfId="0" applyNumberFormat="1"/>
    <xf numFmtId="0" fontId="4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6" borderId="1" xfId="0" applyFill="1" applyBorder="1"/>
    <xf numFmtId="0" fontId="7" fillId="0" borderId="0" xfId="0" applyFont="1" applyBorder="1"/>
    <xf numFmtId="0" fontId="8" fillId="0" borderId="0" xfId="0" applyFont="1" applyBorder="1"/>
    <xf numFmtId="43" fontId="0" fillId="0" borderId="23" xfId="1" applyFont="1" applyBorder="1"/>
  </cellXfs>
  <cellStyles count="4">
    <cellStyle name="Comma" xfId="1" builtinId="3"/>
    <cellStyle name="Normal" xfId="0" builtinId="0"/>
    <cellStyle name="Normal 2" xfId="3" xr:uid="{6215183B-15AE-4945-AEB4-F8F7BA7D7FD7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2e62534b71812a4/Desktop/616%20_%20Financial%20Statement%20Analysis/Cases/Final%20Project/Project%20Excel.Karan%20Shah.xlsx" TargetMode="External"/><Relationship Id="rId1" Type="http://schemas.openxmlformats.org/officeDocument/2006/relationships/externalLinkPath" Target="Project%20Excel.Karan%20Sha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tatement For Visa"/>
      <sheetName val="Financial Statement For Master"/>
      <sheetName val="Key Ratios"/>
      <sheetName val="Profitability Ratio Analysis"/>
      <sheetName val="Productivity Ratio Analysis"/>
      <sheetName val="Liquidity &amp; Solvency Ratio"/>
      <sheetName val="Data For Beta"/>
      <sheetName val="Beta for visa"/>
      <sheetName val="Cost of Capital"/>
      <sheetName val="Valuation"/>
    </sheetNames>
    <sheetDataSet>
      <sheetData sheetId="0"/>
      <sheetData sheetId="1"/>
      <sheetData sheetId="2">
        <row r="22">
          <cell r="H22">
            <v>22200</v>
          </cell>
          <cell r="I22">
            <v>25098</v>
          </cell>
          <cell r="J22">
            <v>28167</v>
          </cell>
        </row>
        <row r="23">
          <cell r="H23">
            <v>3341.5</v>
          </cell>
          <cell r="I23">
            <v>3868</v>
          </cell>
          <cell r="J23">
            <v>4088</v>
          </cell>
        </row>
        <row r="29">
          <cell r="H29">
            <v>832</v>
          </cell>
          <cell r="I29">
            <v>880</v>
          </cell>
          <cell r="J29">
            <v>881.5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42298-D780-4D86-B984-3FCDE1A41B88}">
  <sheetPr>
    <outlinePr summaryBelow="0" summaryRight="0"/>
  </sheetPr>
  <dimension ref="A1:E337"/>
  <sheetViews>
    <sheetView workbookViewId="0">
      <pane ySplit="3" topLeftCell="A36" activePane="bottomLeft" state="frozen"/>
      <selection pane="bottomLeft" sqref="A1:E110"/>
    </sheetView>
  </sheetViews>
  <sheetFormatPr defaultRowHeight="13.2" x14ac:dyDescent="0.25"/>
  <cols>
    <col min="1" max="1" width="59.33203125" style="2" customWidth="1"/>
    <col min="2" max="5" width="23.21875" style="2" customWidth="1"/>
    <col min="6" max="6" width="8.88671875" style="2"/>
    <col min="7" max="7" width="11.6640625" style="2" bestFit="1" customWidth="1"/>
    <col min="8" max="256" width="8.88671875" style="2"/>
    <col min="257" max="257" width="59.33203125" style="2" customWidth="1"/>
    <col min="258" max="261" width="23.21875" style="2" customWidth="1"/>
    <col min="262" max="512" width="8.88671875" style="2"/>
    <col min="513" max="513" width="59.33203125" style="2" customWidth="1"/>
    <col min="514" max="517" width="23.21875" style="2" customWidth="1"/>
    <col min="518" max="768" width="8.88671875" style="2"/>
    <col min="769" max="769" width="59.33203125" style="2" customWidth="1"/>
    <col min="770" max="773" width="23.21875" style="2" customWidth="1"/>
    <col min="774" max="1024" width="8.88671875" style="2"/>
    <col min="1025" max="1025" width="59.33203125" style="2" customWidth="1"/>
    <col min="1026" max="1029" width="23.21875" style="2" customWidth="1"/>
    <col min="1030" max="1280" width="8.88671875" style="2"/>
    <col min="1281" max="1281" width="59.33203125" style="2" customWidth="1"/>
    <col min="1282" max="1285" width="23.21875" style="2" customWidth="1"/>
    <col min="1286" max="1536" width="8.88671875" style="2"/>
    <col min="1537" max="1537" width="59.33203125" style="2" customWidth="1"/>
    <col min="1538" max="1541" width="23.21875" style="2" customWidth="1"/>
    <col min="1542" max="1792" width="8.88671875" style="2"/>
    <col min="1793" max="1793" width="59.33203125" style="2" customWidth="1"/>
    <col min="1794" max="1797" width="23.21875" style="2" customWidth="1"/>
    <col min="1798" max="2048" width="8.88671875" style="2"/>
    <col min="2049" max="2049" width="59.33203125" style="2" customWidth="1"/>
    <col min="2050" max="2053" width="23.21875" style="2" customWidth="1"/>
    <col min="2054" max="2304" width="8.88671875" style="2"/>
    <col min="2305" max="2305" width="59.33203125" style="2" customWidth="1"/>
    <col min="2306" max="2309" width="23.21875" style="2" customWidth="1"/>
    <col min="2310" max="2560" width="8.88671875" style="2"/>
    <col min="2561" max="2561" width="59.33203125" style="2" customWidth="1"/>
    <col min="2562" max="2565" width="23.21875" style="2" customWidth="1"/>
    <col min="2566" max="2816" width="8.88671875" style="2"/>
    <col min="2817" max="2817" width="59.33203125" style="2" customWidth="1"/>
    <col min="2818" max="2821" width="23.21875" style="2" customWidth="1"/>
    <col min="2822" max="3072" width="8.88671875" style="2"/>
    <col min="3073" max="3073" width="59.33203125" style="2" customWidth="1"/>
    <col min="3074" max="3077" width="23.21875" style="2" customWidth="1"/>
    <col min="3078" max="3328" width="8.88671875" style="2"/>
    <col min="3329" max="3329" width="59.33203125" style="2" customWidth="1"/>
    <col min="3330" max="3333" width="23.21875" style="2" customWidth="1"/>
    <col min="3334" max="3584" width="8.88671875" style="2"/>
    <col min="3585" max="3585" width="59.33203125" style="2" customWidth="1"/>
    <col min="3586" max="3589" width="23.21875" style="2" customWidth="1"/>
    <col min="3590" max="3840" width="8.88671875" style="2"/>
    <col min="3841" max="3841" width="59.33203125" style="2" customWidth="1"/>
    <col min="3842" max="3845" width="23.21875" style="2" customWidth="1"/>
    <col min="3846" max="4096" width="8.88671875" style="2"/>
    <col min="4097" max="4097" width="59.33203125" style="2" customWidth="1"/>
    <col min="4098" max="4101" width="23.21875" style="2" customWidth="1"/>
    <col min="4102" max="4352" width="8.88671875" style="2"/>
    <col min="4353" max="4353" width="59.33203125" style="2" customWidth="1"/>
    <col min="4354" max="4357" width="23.21875" style="2" customWidth="1"/>
    <col min="4358" max="4608" width="8.88671875" style="2"/>
    <col min="4609" max="4609" width="59.33203125" style="2" customWidth="1"/>
    <col min="4610" max="4613" width="23.21875" style="2" customWidth="1"/>
    <col min="4614" max="4864" width="8.88671875" style="2"/>
    <col min="4865" max="4865" width="59.33203125" style="2" customWidth="1"/>
    <col min="4866" max="4869" width="23.21875" style="2" customWidth="1"/>
    <col min="4870" max="5120" width="8.88671875" style="2"/>
    <col min="5121" max="5121" width="59.33203125" style="2" customWidth="1"/>
    <col min="5122" max="5125" width="23.21875" style="2" customWidth="1"/>
    <col min="5126" max="5376" width="8.88671875" style="2"/>
    <col min="5377" max="5377" width="59.33203125" style="2" customWidth="1"/>
    <col min="5378" max="5381" width="23.21875" style="2" customWidth="1"/>
    <col min="5382" max="5632" width="8.88671875" style="2"/>
    <col min="5633" max="5633" width="59.33203125" style="2" customWidth="1"/>
    <col min="5634" max="5637" width="23.21875" style="2" customWidth="1"/>
    <col min="5638" max="5888" width="8.88671875" style="2"/>
    <col min="5889" max="5889" width="59.33203125" style="2" customWidth="1"/>
    <col min="5890" max="5893" width="23.21875" style="2" customWidth="1"/>
    <col min="5894" max="6144" width="8.88671875" style="2"/>
    <col min="6145" max="6145" width="59.33203125" style="2" customWidth="1"/>
    <col min="6146" max="6149" width="23.21875" style="2" customWidth="1"/>
    <col min="6150" max="6400" width="8.88671875" style="2"/>
    <col min="6401" max="6401" width="59.33203125" style="2" customWidth="1"/>
    <col min="6402" max="6405" width="23.21875" style="2" customWidth="1"/>
    <col min="6406" max="6656" width="8.88671875" style="2"/>
    <col min="6657" max="6657" width="59.33203125" style="2" customWidth="1"/>
    <col min="6658" max="6661" width="23.21875" style="2" customWidth="1"/>
    <col min="6662" max="6912" width="8.88671875" style="2"/>
    <col min="6913" max="6913" width="59.33203125" style="2" customWidth="1"/>
    <col min="6914" max="6917" width="23.21875" style="2" customWidth="1"/>
    <col min="6918" max="7168" width="8.88671875" style="2"/>
    <col min="7169" max="7169" width="59.33203125" style="2" customWidth="1"/>
    <col min="7170" max="7173" width="23.21875" style="2" customWidth="1"/>
    <col min="7174" max="7424" width="8.88671875" style="2"/>
    <col min="7425" max="7425" width="59.33203125" style="2" customWidth="1"/>
    <col min="7426" max="7429" width="23.21875" style="2" customWidth="1"/>
    <col min="7430" max="7680" width="8.88671875" style="2"/>
    <col min="7681" max="7681" width="59.33203125" style="2" customWidth="1"/>
    <col min="7682" max="7685" width="23.21875" style="2" customWidth="1"/>
    <col min="7686" max="7936" width="8.88671875" style="2"/>
    <col min="7937" max="7937" width="59.33203125" style="2" customWidth="1"/>
    <col min="7938" max="7941" width="23.21875" style="2" customWidth="1"/>
    <col min="7942" max="8192" width="8.88671875" style="2"/>
    <col min="8193" max="8193" width="59.33203125" style="2" customWidth="1"/>
    <col min="8194" max="8197" width="23.21875" style="2" customWidth="1"/>
    <col min="8198" max="8448" width="8.88671875" style="2"/>
    <col min="8449" max="8449" width="59.33203125" style="2" customWidth="1"/>
    <col min="8450" max="8453" width="23.21875" style="2" customWidth="1"/>
    <col min="8454" max="8704" width="8.88671875" style="2"/>
    <col min="8705" max="8705" width="59.33203125" style="2" customWidth="1"/>
    <col min="8706" max="8709" width="23.21875" style="2" customWidth="1"/>
    <col min="8710" max="8960" width="8.88671875" style="2"/>
    <col min="8961" max="8961" width="59.33203125" style="2" customWidth="1"/>
    <col min="8962" max="8965" width="23.21875" style="2" customWidth="1"/>
    <col min="8966" max="9216" width="8.88671875" style="2"/>
    <col min="9217" max="9217" width="59.33203125" style="2" customWidth="1"/>
    <col min="9218" max="9221" width="23.21875" style="2" customWidth="1"/>
    <col min="9222" max="9472" width="8.88671875" style="2"/>
    <col min="9473" max="9473" width="59.33203125" style="2" customWidth="1"/>
    <col min="9474" max="9477" width="23.21875" style="2" customWidth="1"/>
    <col min="9478" max="9728" width="8.88671875" style="2"/>
    <col min="9729" max="9729" width="59.33203125" style="2" customWidth="1"/>
    <col min="9730" max="9733" width="23.21875" style="2" customWidth="1"/>
    <col min="9734" max="9984" width="8.88671875" style="2"/>
    <col min="9985" max="9985" width="59.33203125" style="2" customWidth="1"/>
    <col min="9986" max="9989" width="23.21875" style="2" customWidth="1"/>
    <col min="9990" max="10240" width="8.88671875" style="2"/>
    <col min="10241" max="10241" width="59.33203125" style="2" customWidth="1"/>
    <col min="10242" max="10245" width="23.21875" style="2" customWidth="1"/>
    <col min="10246" max="10496" width="8.88671875" style="2"/>
    <col min="10497" max="10497" width="59.33203125" style="2" customWidth="1"/>
    <col min="10498" max="10501" width="23.21875" style="2" customWidth="1"/>
    <col min="10502" max="10752" width="8.88671875" style="2"/>
    <col min="10753" max="10753" width="59.33203125" style="2" customWidth="1"/>
    <col min="10754" max="10757" width="23.21875" style="2" customWidth="1"/>
    <col min="10758" max="11008" width="8.88671875" style="2"/>
    <col min="11009" max="11009" width="59.33203125" style="2" customWidth="1"/>
    <col min="11010" max="11013" width="23.21875" style="2" customWidth="1"/>
    <col min="11014" max="11264" width="8.88671875" style="2"/>
    <col min="11265" max="11265" width="59.33203125" style="2" customWidth="1"/>
    <col min="11266" max="11269" width="23.21875" style="2" customWidth="1"/>
    <col min="11270" max="11520" width="8.88671875" style="2"/>
    <col min="11521" max="11521" width="59.33203125" style="2" customWidth="1"/>
    <col min="11522" max="11525" width="23.21875" style="2" customWidth="1"/>
    <col min="11526" max="11776" width="8.88671875" style="2"/>
    <col min="11777" max="11777" width="59.33203125" style="2" customWidth="1"/>
    <col min="11778" max="11781" width="23.21875" style="2" customWidth="1"/>
    <col min="11782" max="12032" width="8.88671875" style="2"/>
    <col min="12033" max="12033" width="59.33203125" style="2" customWidth="1"/>
    <col min="12034" max="12037" width="23.21875" style="2" customWidth="1"/>
    <col min="12038" max="12288" width="8.88671875" style="2"/>
    <col min="12289" max="12289" width="59.33203125" style="2" customWidth="1"/>
    <col min="12290" max="12293" width="23.21875" style="2" customWidth="1"/>
    <col min="12294" max="12544" width="8.88671875" style="2"/>
    <col min="12545" max="12545" width="59.33203125" style="2" customWidth="1"/>
    <col min="12546" max="12549" width="23.21875" style="2" customWidth="1"/>
    <col min="12550" max="12800" width="8.88671875" style="2"/>
    <col min="12801" max="12801" width="59.33203125" style="2" customWidth="1"/>
    <col min="12802" max="12805" width="23.21875" style="2" customWidth="1"/>
    <col min="12806" max="13056" width="8.88671875" style="2"/>
    <col min="13057" max="13057" width="59.33203125" style="2" customWidth="1"/>
    <col min="13058" max="13061" width="23.21875" style="2" customWidth="1"/>
    <col min="13062" max="13312" width="8.88671875" style="2"/>
    <col min="13313" max="13313" width="59.33203125" style="2" customWidth="1"/>
    <col min="13314" max="13317" width="23.21875" style="2" customWidth="1"/>
    <col min="13318" max="13568" width="8.88671875" style="2"/>
    <col min="13569" max="13569" width="59.33203125" style="2" customWidth="1"/>
    <col min="13570" max="13573" width="23.21875" style="2" customWidth="1"/>
    <col min="13574" max="13824" width="8.88671875" style="2"/>
    <col min="13825" max="13825" width="59.33203125" style="2" customWidth="1"/>
    <col min="13826" max="13829" width="23.21875" style="2" customWidth="1"/>
    <col min="13830" max="14080" width="8.88671875" style="2"/>
    <col min="14081" max="14081" width="59.33203125" style="2" customWidth="1"/>
    <col min="14082" max="14085" width="23.21875" style="2" customWidth="1"/>
    <col min="14086" max="14336" width="8.88671875" style="2"/>
    <col min="14337" max="14337" width="59.33203125" style="2" customWidth="1"/>
    <col min="14338" max="14341" width="23.21875" style="2" customWidth="1"/>
    <col min="14342" max="14592" width="8.88671875" style="2"/>
    <col min="14593" max="14593" width="59.33203125" style="2" customWidth="1"/>
    <col min="14594" max="14597" width="23.21875" style="2" customWidth="1"/>
    <col min="14598" max="14848" width="8.88671875" style="2"/>
    <col min="14849" max="14849" width="59.33203125" style="2" customWidth="1"/>
    <col min="14850" max="14853" width="23.21875" style="2" customWidth="1"/>
    <col min="14854" max="15104" width="8.88671875" style="2"/>
    <col min="15105" max="15105" width="59.33203125" style="2" customWidth="1"/>
    <col min="15106" max="15109" width="23.21875" style="2" customWidth="1"/>
    <col min="15110" max="15360" width="8.88671875" style="2"/>
    <col min="15361" max="15361" width="59.33203125" style="2" customWidth="1"/>
    <col min="15362" max="15365" width="23.21875" style="2" customWidth="1"/>
    <col min="15366" max="15616" width="8.88671875" style="2"/>
    <col min="15617" max="15617" width="59.33203125" style="2" customWidth="1"/>
    <col min="15618" max="15621" width="23.21875" style="2" customWidth="1"/>
    <col min="15622" max="15872" width="8.88671875" style="2"/>
    <col min="15873" max="15873" width="59.33203125" style="2" customWidth="1"/>
    <col min="15874" max="15877" width="23.21875" style="2" customWidth="1"/>
    <col min="15878" max="16128" width="8.88671875" style="2"/>
    <col min="16129" max="16129" width="59.33203125" style="2" customWidth="1"/>
    <col min="16130" max="16133" width="23.21875" style="2" customWidth="1"/>
    <col min="16134" max="16384" width="8.88671875" style="2"/>
  </cols>
  <sheetData>
    <row r="1" spans="1:5" x14ac:dyDescent="0.25">
      <c r="A1" s="1" t="s">
        <v>0</v>
      </c>
    </row>
    <row r="2" spans="1:5" x14ac:dyDescent="0.25">
      <c r="A2" s="1" t="s">
        <v>1</v>
      </c>
    </row>
    <row r="3" spans="1:5" x14ac:dyDescent="0.25">
      <c r="A3" s="1"/>
      <c r="B3" s="1">
        <v>2021</v>
      </c>
      <c r="C3" s="1">
        <v>2022</v>
      </c>
      <c r="D3" s="1">
        <v>2023</v>
      </c>
      <c r="E3" s="1">
        <v>2024</v>
      </c>
    </row>
    <row r="4" spans="1:5" x14ac:dyDescent="0.25">
      <c r="A4" s="1"/>
    </row>
    <row r="5" spans="1:5" x14ac:dyDescent="0.25">
      <c r="A5" s="3" t="s">
        <v>2</v>
      </c>
    </row>
    <row r="6" spans="1:5" x14ac:dyDescent="0.25">
      <c r="A6" s="1" t="s">
        <v>3</v>
      </c>
    </row>
    <row r="7" spans="1:5" x14ac:dyDescent="0.25">
      <c r="A7" s="4" t="s">
        <v>4</v>
      </c>
      <c r="B7" s="5">
        <v>96291</v>
      </c>
      <c r="C7" s="5">
        <v>70384</v>
      </c>
      <c r="D7" s="5">
        <v>87277</v>
      </c>
      <c r="E7" s="5">
        <v>101449</v>
      </c>
    </row>
    <row r="8" spans="1:5" x14ac:dyDescent="0.25">
      <c r="A8" s="4" t="s">
        <v>5</v>
      </c>
      <c r="B8" s="5">
        <v>36220</v>
      </c>
      <c r="C8" s="5">
        <v>53888</v>
      </c>
      <c r="D8" s="5">
        <v>73387</v>
      </c>
      <c r="E8" s="5">
        <v>78779</v>
      </c>
    </row>
    <row r="9" spans="1:5" x14ac:dyDescent="0.25">
      <c r="A9" s="4" t="s">
        <v>6</v>
      </c>
      <c r="B9" s="5">
        <v>60071</v>
      </c>
      <c r="C9" s="5">
        <v>16496</v>
      </c>
      <c r="D9" s="5">
        <v>13890</v>
      </c>
      <c r="E9" s="5">
        <v>22670</v>
      </c>
    </row>
    <row r="10" spans="1:5" x14ac:dyDescent="0.25">
      <c r="A10" s="8" t="s">
        <v>7</v>
      </c>
      <c r="B10" s="9">
        <v>26500</v>
      </c>
      <c r="C10" s="9">
        <v>34800</v>
      </c>
      <c r="D10" s="9">
        <v>46900</v>
      </c>
      <c r="E10" s="9">
        <v>49300</v>
      </c>
    </row>
    <row r="11" spans="1:5" x14ac:dyDescent="0.25">
      <c r="A11" s="4" t="s">
        <v>8</v>
      </c>
      <c r="B11" s="5">
        <v>26500</v>
      </c>
      <c r="C11" s="5">
        <v>34800</v>
      </c>
      <c r="D11" s="5">
        <v>43600</v>
      </c>
      <c r="E11" s="5">
        <v>45900</v>
      </c>
    </row>
    <row r="12" spans="1:5" x14ac:dyDescent="0.25">
      <c r="A12" s="4" t="s">
        <v>9</v>
      </c>
      <c r="B12" s="5">
        <v>0</v>
      </c>
      <c r="C12" s="5">
        <v>0</v>
      </c>
      <c r="D12" s="5">
        <v>0</v>
      </c>
      <c r="E12" s="5">
        <v>0</v>
      </c>
    </row>
    <row r="13" spans="1:5" x14ac:dyDescent="0.25">
      <c r="A13" s="4" t="s">
        <v>10</v>
      </c>
      <c r="B13" s="5">
        <v>0</v>
      </c>
      <c r="C13" s="5">
        <v>0</v>
      </c>
      <c r="D13" s="5">
        <v>3300</v>
      </c>
      <c r="E13" s="5">
        <v>3400</v>
      </c>
    </row>
    <row r="14" spans="1:5" x14ac:dyDescent="0.25">
      <c r="A14" s="8" t="s">
        <v>11</v>
      </c>
      <c r="B14" s="5">
        <v>31758</v>
      </c>
      <c r="C14" s="5">
        <v>33457</v>
      </c>
      <c r="D14" s="5">
        <v>32326</v>
      </c>
      <c r="E14" s="5">
        <v>33216</v>
      </c>
    </row>
    <row r="15" spans="1:5" x14ac:dyDescent="0.25">
      <c r="A15" s="4" t="s">
        <v>12</v>
      </c>
      <c r="B15" s="5">
        <v>0</v>
      </c>
      <c r="C15" s="5">
        <v>0</v>
      </c>
      <c r="D15" s="5">
        <v>0</v>
      </c>
      <c r="E15" s="5">
        <v>0</v>
      </c>
    </row>
    <row r="16" spans="1:5" x14ac:dyDescent="0.25">
      <c r="A16" s="4" t="s">
        <v>13</v>
      </c>
      <c r="B16" s="5">
        <v>0</v>
      </c>
      <c r="C16" s="5">
        <v>0</v>
      </c>
      <c r="D16" s="5">
        <v>0</v>
      </c>
      <c r="E16" s="5">
        <v>0</v>
      </c>
    </row>
    <row r="17" spans="1:5" x14ac:dyDescent="0.25">
      <c r="A17" s="4" t="s">
        <v>14</v>
      </c>
      <c r="B17" s="5">
        <v>31758</v>
      </c>
      <c r="C17" s="5">
        <v>33457</v>
      </c>
      <c r="D17" s="5">
        <v>32326</v>
      </c>
      <c r="E17" s="5">
        <v>33216</v>
      </c>
    </row>
    <row r="18" spans="1:5" x14ac:dyDescent="0.25">
      <c r="A18" s="4" t="s">
        <v>15</v>
      </c>
      <c r="B18" s="5">
        <v>0</v>
      </c>
      <c r="C18" s="5">
        <v>0</v>
      </c>
      <c r="D18" s="5">
        <v>0</v>
      </c>
      <c r="E18" s="5">
        <v>0</v>
      </c>
    </row>
    <row r="19" spans="1:5" x14ac:dyDescent="0.25">
      <c r="A19" s="8" t="s">
        <v>16</v>
      </c>
      <c r="B19" s="5">
        <v>7031</v>
      </c>
      <c r="C19" s="5">
        <v>8150</v>
      </c>
      <c r="D19" s="5">
        <v>5848</v>
      </c>
      <c r="E19" s="5">
        <v>6902</v>
      </c>
    </row>
    <row r="20" spans="1:5" x14ac:dyDescent="0.25">
      <c r="A20" s="4" t="s">
        <v>17</v>
      </c>
      <c r="B20" s="5">
        <v>0</v>
      </c>
      <c r="C20" s="5">
        <v>0</v>
      </c>
      <c r="D20" s="4" t="s">
        <v>18</v>
      </c>
      <c r="E20" s="4" t="s">
        <v>18</v>
      </c>
    </row>
    <row r="21" spans="1:5" x14ac:dyDescent="0.25">
      <c r="A21" s="4" t="s">
        <v>19</v>
      </c>
      <c r="B21" s="5">
        <v>7031</v>
      </c>
      <c r="C21" s="5">
        <v>8150</v>
      </c>
      <c r="D21" s="5">
        <v>5848</v>
      </c>
      <c r="E21" s="5">
        <v>6902</v>
      </c>
    </row>
    <row r="22" spans="1:5" x14ac:dyDescent="0.25">
      <c r="A22" s="4" t="s">
        <v>20</v>
      </c>
      <c r="B22" s="5">
        <v>161580</v>
      </c>
      <c r="C22" s="5">
        <v>146791</v>
      </c>
      <c r="D22" s="5">
        <v>172351</v>
      </c>
      <c r="E22" s="5">
        <v>190867</v>
      </c>
    </row>
    <row r="23" spans="1:5" x14ac:dyDescent="0.25">
      <c r="A23" s="8" t="s">
        <v>21</v>
      </c>
      <c r="B23" s="5">
        <v>216363</v>
      </c>
      <c r="C23" s="5">
        <v>252838</v>
      </c>
      <c r="D23" s="5">
        <v>276690</v>
      </c>
      <c r="E23" s="5">
        <v>328806</v>
      </c>
    </row>
    <row r="24" spans="1:5" x14ac:dyDescent="0.25">
      <c r="A24" s="4" t="s">
        <v>22</v>
      </c>
      <c r="B24" s="5">
        <v>294882</v>
      </c>
      <c r="C24" s="5">
        <v>349853</v>
      </c>
      <c r="D24" s="5">
        <v>396801</v>
      </c>
      <c r="E24" s="5">
        <v>470196</v>
      </c>
    </row>
    <row r="25" spans="1:5" x14ac:dyDescent="0.25">
      <c r="A25" s="4" t="s">
        <v>23</v>
      </c>
      <c r="B25" s="5">
        <v>78519</v>
      </c>
      <c r="C25" s="5">
        <v>97015</v>
      </c>
      <c r="D25" s="5">
        <v>120111</v>
      </c>
      <c r="E25" s="5">
        <v>141390</v>
      </c>
    </row>
    <row r="26" spans="1:5" x14ac:dyDescent="0.25">
      <c r="A26" s="4" t="s">
        <v>24</v>
      </c>
      <c r="B26" s="4" t="s">
        <v>18</v>
      </c>
      <c r="C26" s="4" t="s">
        <v>18</v>
      </c>
      <c r="D26" s="4" t="s">
        <v>18</v>
      </c>
      <c r="E26" s="4" t="s">
        <v>18</v>
      </c>
    </row>
    <row r="27" spans="1:5" x14ac:dyDescent="0.25">
      <c r="A27" s="4" t="s">
        <v>25</v>
      </c>
      <c r="B27" s="5">
        <v>6700</v>
      </c>
      <c r="C27" s="5">
        <v>4300</v>
      </c>
      <c r="D27" s="5">
        <v>5900</v>
      </c>
      <c r="E27" s="5">
        <v>20000</v>
      </c>
    </row>
    <row r="28" spans="1:5" x14ac:dyDescent="0.25">
      <c r="A28" s="8" t="s">
        <v>26</v>
      </c>
      <c r="B28" s="5">
        <v>20478</v>
      </c>
      <c r="C28" s="5">
        <v>26385</v>
      </c>
      <c r="D28" s="5">
        <v>30476</v>
      </c>
      <c r="E28" s="5">
        <v>31676</v>
      </c>
    </row>
    <row r="29" spans="1:5" x14ac:dyDescent="0.25">
      <c r="A29" s="8" t="s">
        <v>27</v>
      </c>
      <c r="B29" s="5">
        <v>15428</v>
      </c>
      <c r="C29" s="5">
        <v>32361</v>
      </c>
      <c r="D29" s="5">
        <v>42437</v>
      </c>
      <c r="E29" s="5">
        <v>53545</v>
      </c>
    </row>
    <row r="30" spans="1:5" x14ac:dyDescent="0.25">
      <c r="A30" s="4" t="s">
        <v>28</v>
      </c>
      <c r="B30" s="5">
        <v>0</v>
      </c>
      <c r="C30" s="5">
        <v>0</v>
      </c>
      <c r="D30" s="5">
        <v>0</v>
      </c>
      <c r="E30" s="5">
        <v>0</v>
      </c>
    </row>
    <row r="31" spans="1:5" x14ac:dyDescent="0.25">
      <c r="A31" s="4" t="s">
        <v>29</v>
      </c>
      <c r="B31" s="5">
        <v>15428</v>
      </c>
      <c r="C31" s="5">
        <v>32361</v>
      </c>
      <c r="D31" s="5">
        <v>42437</v>
      </c>
      <c r="E31" s="5">
        <v>53545</v>
      </c>
    </row>
    <row r="32" spans="1:5" x14ac:dyDescent="0.25">
      <c r="A32" s="4" t="s">
        <v>30</v>
      </c>
      <c r="B32" s="5">
        <v>420549</v>
      </c>
      <c r="C32" s="5">
        <v>462675</v>
      </c>
      <c r="D32" s="5">
        <v>527854</v>
      </c>
      <c r="E32" s="5">
        <v>624894</v>
      </c>
    </row>
    <row r="33" spans="1:5" x14ac:dyDescent="0.25">
      <c r="A33" s="1" t="s">
        <v>31</v>
      </c>
    </row>
    <row r="34" spans="1:5" x14ac:dyDescent="0.25">
      <c r="A34" s="4" t="s">
        <v>32</v>
      </c>
      <c r="B34" s="5">
        <v>17162</v>
      </c>
      <c r="C34" s="5">
        <v>23120</v>
      </c>
      <c r="D34" s="5">
        <v>19561</v>
      </c>
      <c r="E34" s="5">
        <v>17401</v>
      </c>
    </row>
    <row r="35" spans="1:5" x14ac:dyDescent="0.25">
      <c r="A35" s="4" t="s">
        <v>33</v>
      </c>
      <c r="B35" s="5">
        <v>1043</v>
      </c>
      <c r="C35" s="5">
        <v>8000</v>
      </c>
      <c r="D35" s="5">
        <v>147</v>
      </c>
      <c r="E35" s="5">
        <v>151</v>
      </c>
    </row>
    <row r="36" spans="1:5" x14ac:dyDescent="0.25">
      <c r="A36" s="4" t="s">
        <v>34</v>
      </c>
      <c r="B36" s="5">
        <v>16119</v>
      </c>
      <c r="C36" s="5">
        <v>15120</v>
      </c>
      <c r="D36" s="5">
        <v>19414</v>
      </c>
      <c r="E36" s="5">
        <v>17250</v>
      </c>
    </row>
    <row r="37" spans="1:5" x14ac:dyDescent="0.25">
      <c r="A37" s="4" t="s">
        <v>35</v>
      </c>
      <c r="B37" s="5">
        <v>78664</v>
      </c>
      <c r="C37" s="5">
        <v>79600</v>
      </c>
      <c r="D37" s="5">
        <v>84981</v>
      </c>
      <c r="E37" s="5">
        <v>94363</v>
      </c>
    </row>
    <row r="38" spans="1:5" x14ac:dyDescent="0.25">
      <c r="A38" s="4" t="s">
        <v>36</v>
      </c>
      <c r="B38" s="5">
        <v>0</v>
      </c>
      <c r="C38" s="5">
        <v>0</v>
      </c>
      <c r="D38" s="5">
        <v>0</v>
      </c>
      <c r="E38" s="5">
        <v>0</v>
      </c>
    </row>
    <row r="39" spans="1:5" x14ac:dyDescent="0.25">
      <c r="A39" s="4" t="s">
        <v>37</v>
      </c>
      <c r="B39" s="5">
        <v>46440</v>
      </c>
      <c r="C39" s="5">
        <v>52673</v>
      </c>
      <c r="D39" s="5">
        <v>60375</v>
      </c>
      <c r="E39" s="5">
        <v>67667</v>
      </c>
    </row>
    <row r="40" spans="1:5" x14ac:dyDescent="0.25">
      <c r="A40" s="4" t="s">
        <v>38</v>
      </c>
      <c r="B40" s="4" t="s">
        <v>18</v>
      </c>
      <c r="C40" s="4" t="s">
        <v>18</v>
      </c>
      <c r="D40" s="4" t="s">
        <v>18</v>
      </c>
      <c r="E40" s="4" t="s">
        <v>18</v>
      </c>
    </row>
    <row r="41" spans="1:5" x14ac:dyDescent="0.25">
      <c r="A41" s="4" t="s">
        <v>39</v>
      </c>
      <c r="B41" s="5">
        <v>46440</v>
      </c>
      <c r="C41" s="5">
        <v>52673</v>
      </c>
      <c r="D41" s="5">
        <v>60375</v>
      </c>
      <c r="E41" s="5">
        <v>67667</v>
      </c>
    </row>
    <row r="42" spans="1:5" x14ac:dyDescent="0.25">
      <c r="A42" s="4" t="s">
        <v>40</v>
      </c>
      <c r="B42" s="5">
        <v>142266</v>
      </c>
      <c r="C42" s="5">
        <v>155393</v>
      </c>
      <c r="D42" s="5">
        <v>164917</v>
      </c>
      <c r="E42" s="5">
        <v>179431</v>
      </c>
    </row>
    <row r="43" spans="1:5" x14ac:dyDescent="0.25">
      <c r="A43" s="4" t="s">
        <v>41</v>
      </c>
      <c r="B43" s="5">
        <v>122595</v>
      </c>
      <c r="C43" s="5">
        <v>146818</v>
      </c>
      <c r="D43" s="5">
        <v>142211</v>
      </c>
      <c r="E43" s="5">
        <v>138000</v>
      </c>
    </row>
    <row r="44" spans="1:5" x14ac:dyDescent="0.25">
      <c r="A44" s="4" t="s">
        <v>42</v>
      </c>
      <c r="B44" s="5">
        <v>0</v>
      </c>
      <c r="C44" s="5">
        <v>0</v>
      </c>
      <c r="D44" s="5">
        <v>0</v>
      </c>
      <c r="E44" s="5">
        <v>0</v>
      </c>
    </row>
    <row r="45" spans="1:5" x14ac:dyDescent="0.25">
      <c r="A45" s="4" t="s">
        <v>43</v>
      </c>
      <c r="B45" s="5">
        <v>0</v>
      </c>
      <c r="C45" s="5">
        <v>0</v>
      </c>
      <c r="D45" s="5">
        <v>0</v>
      </c>
      <c r="E45" s="5">
        <v>0</v>
      </c>
    </row>
    <row r="46" spans="1:5" x14ac:dyDescent="0.25">
      <c r="A46" s="4" t="s">
        <v>44</v>
      </c>
      <c r="B46" s="5">
        <v>0</v>
      </c>
      <c r="C46" s="5">
        <v>0</v>
      </c>
      <c r="D46" s="5">
        <v>0</v>
      </c>
      <c r="E46" s="5">
        <v>0</v>
      </c>
    </row>
    <row r="47" spans="1:5" x14ac:dyDescent="0.25">
      <c r="A47" s="4" t="s">
        <v>45</v>
      </c>
      <c r="B47" s="5">
        <v>0</v>
      </c>
      <c r="C47" s="5">
        <v>0</v>
      </c>
      <c r="D47" s="5">
        <v>0</v>
      </c>
      <c r="E47" s="5">
        <v>0</v>
      </c>
    </row>
    <row r="48" spans="1:5" x14ac:dyDescent="0.25">
      <c r="A48" s="4" t="s">
        <v>46</v>
      </c>
      <c r="B48" s="5">
        <v>49750</v>
      </c>
      <c r="C48" s="5">
        <v>69500</v>
      </c>
      <c r="D48" s="5">
        <v>66500</v>
      </c>
      <c r="E48" s="5">
        <v>58000</v>
      </c>
    </row>
    <row r="49" spans="1:5" x14ac:dyDescent="0.25">
      <c r="A49" s="4" t="s">
        <v>47</v>
      </c>
      <c r="B49" s="5">
        <v>0</v>
      </c>
      <c r="C49" s="5">
        <v>0</v>
      </c>
      <c r="D49" s="5">
        <v>0</v>
      </c>
      <c r="E49" s="5">
        <v>0</v>
      </c>
    </row>
    <row r="50" spans="1:5" x14ac:dyDescent="0.25">
      <c r="A50" s="4" t="s">
        <v>48</v>
      </c>
      <c r="B50" s="5">
        <v>65529</v>
      </c>
      <c r="C50" s="5">
        <v>77048</v>
      </c>
      <c r="D50" s="5">
        <v>83390</v>
      </c>
      <c r="E50" s="5">
        <v>87008</v>
      </c>
    </row>
    <row r="51" spans="1:5" x14ac:dyDescent="0.25">
      <c r="A51" s="4" t="s">
        <v>49</v>
      </c>
      <c r="B51" s="5">
        <v>23753</v>
      </c>
      <c r="C51" s="5">
        <v>15783</v>
      </c>
      <c r="D51" s="5">
        <v>12109</v>
      </c>
      <c r="E51" s="5">
        <v>10602</v>
      </c>
    </row>
    <row r="52" spans="1:5" x14ac:dyDescent="0.25">
      <c r="A52" s="4" t="s">
        <v>50</v>
      </c>
      <c r="B52" s="5">
        <v>17443</v>
      </c>
      <c r="C52" s="5">
        <v>14421</v>
      </c>
      <c r="D52" s="5">
        <v>18851</v>
      </c>
      <c r="E52" s="5">
        <v>21493</v>
      </c>
    </row>
    <row r="53" spans="1:5" x14ac:dyDescent="0.25">
      <c r="A53" s="4" t="s">
        <v>51</v>
      </c>
      <c r="B53" s="4" t="s">
        <v>18</v>
      </c>
      <c r="C53" s="4" t="s">
        <v>18</v>
      </c>
      <c r="D53" s="4" t="s">
        <v>18</v>
      </c>
      <c r="E53" s="4" t="s">
        <v>18</v>
      </c>
    </row>
    <row r="54" spans="1:5" x14ac:dyDescent="0.25">
      <c r="A54" s="4" t="s">
        <v>52</v>
      </c>
      <c r="B54" s="4" t="s">
        <v>18</v>
      </c>
      <c r="C54" s="4" t="s">
        <v>18</v>
      </c>
      <c r="D54" s="4" t="s">
        <v>18</v>
      </c>
      <c r="E54" s="4" t="s">
        <v>18</v>
      </c>
    </row>
    <row r="55" spans="1:5" x14ac:dyDescent="0.25">
      <c r="A55" s="4" t="s">
        <v>53</v>
      </c>
      <c r="B55" s="5">
        <v>0</v>
      </c>
      <c r="C55" s="5">
        <v>0</v>
      </c>
      <c r="D55" s="5">
        <v>0</v>
      </c>
      <c r="E55" s="5">
        <v>0</v>
      </c>
    </row>
    <row r="56" spans="1:5" x14ac:dyDescent="0.25">
      <c r="A56" s="4" t="s">
        <v>54</v>
      </c>
      <c r="B56" s="5">
        <v>0</v>
      </c>
      <c r="C56" s="5">
        <v>0</v>
      </c>
      <c r="D56" s="5">
        <v>0</v>
      </c>
      <c r="E56" s="5">
        <v>0</v>
      </c>
    </row>
    <row r="57" spans="1:5" x14ac:dyDescent="0.25">
      <c r="A57" s="4" t="s">
        <v>55</v>
      </c>
      <c r="B57" s="4" t="s">
        <v>18</v>
      </c>
      <c r="C57" s="10">
        <f>C70-C69</f>
        <v>316632</v>
      </c>
      <c r="D57" s="10">
        <f t="shared" ref="D57:E57" si="0">D70-D69</f>
        <v>325979</v>
      </c>
      <c r="E57" s="10">
        <f t="shared" si="0"/>
        <v>338924</v>
      </c>
    </row>
    <row r="58" spans="1:5" x14ac:dyDescent="0.25">
      <c r="A58" s="1" t="s">
        <v>56</v>
      </c>
    </row>
    <row r="59" spans="1:5" x14ac:dyDescent="0.25">
      <c r="A59" s="4" t="s">
        <v>57</v>
      </c>
      <c r="B59" s="5">
        <v>0</v>
      </c>
      <c r="C59" s="5">
        <v>0</v>
      </c>
      <c r="D59" s="5">
        <v>0</v>
      </c>
      <c r="E59" s="5">
        <v>0</v>
      </c>
    </row>
    <row r="60" spans="1:5" x14ac:dyDescent="0.25">
      <c r="A60" s="4" t="s">
        <v>58</v>
      </c>
      <c r="B60" s="5">
        <v>0</v>
      </c>
      <c r="C60" s="5">
        <v>0</v>
      </c>
      <c r="D60" s="5">
        <v>0</v>
      </c>
      <c r="E60" s="5">
        <v>0</v>
      </c>
    </row>
    <row r="61" spans="1:5" x14ac:dyDescent="0.25">
      <c r="A61" s="4" t="s">
        <v>59</v>
      </c>
      <c r="B61" s="5">
        <v>0</v>
      </c>
      <c r="C61" s="5">
        <v>0</v>
      </c>
      <c r="D61" s="5">
        <v>0</v>
      </c>
      <c r="E61" s="5">
        <v>0</v>
      </c>
    </row>
    <row r="62" spans="1:5" x14ac:dyDescent="0.25">
      <c r="A62" s="4" t="s">
        <v>60</v>
      </c>
      <c r="B62" s="5">
        <v>138245</v>
      </c>
      <c r="C62" s="5">
        <v>146043</v>
      </c>
      <c r="D62" s="5">
        <v>201875</v>
      </c>
      <c r="E62" s="5">
        <v>285970</v>
      </c>
    </row>
    <row r="63" spans="1:5" x14ac:dyDescent="0.25">
      <c r="A63" s="4" t="s">
        <v>61</v>
      </c>
      <c r="B63" s="5">
        <v>5</v>
      </c>
      <c r="C63" s="5">
        <v>108</v>
      </c>
      <c r="D63" s="5">
        <v>109</v>
      </c>
      <c r="E63" s="5">
        <v>111</v>
      </c>
    </row>
    <row r="64" spans="1:5" x14ac:dyDescent="0.25">
      <c r="A64" s="4" t="s">
        <v>62</v>
      </c>
      <c r="B64" s="5">
        <v>55538</v>
      </c>
      <c r="C64" s="5">
        <v>75066</v>
      </c>
      <c r="D64" s="5">
        <v>99025</v>
      </c>
      <c r="E64" s="5">
        <v>120864</v>
      </c>
    </row>
    <row r="65" spans="1:5" x14ac:dyDescent="0.25">
      <c r="A65" s="4" t="s">
        <v>63</v>
      </c>
      <c r="B65" s="5">
        <v>84539</v>
      </c>
      <c r="C65" s="5">
        <v>78706</v>
      </c>
      <c r="D65" s="5">
        <v>110578</v>
      </c>
      <c r="E65" s="5">
        <v>172832</v>
      </c>
    </row>
    <row r="66" spans="1:5" x14ac:dyDescent="0.25">
      <c r="A66" s="4" t="s">
        <v>64</v>
      </c>
      <c r="B66" s="5">
        <v>1837</v>
      </c>
      <c r="C66" s="5">
        <v>7837</v>
      </c>
      <c r="D66" s="5">
        <v>7837</v>
      </c>
      <c r="E66" s="5">
        <v>7837</v>
      </c>
    </row>
    <row r="67" spans="1:5" x14ac:dyDescent="0.25">
      <c r="A67" s="4" t="s">
        <v>65</v>
      </c>
      <c r="B67" s="5">
        <v>138245</v>
      </c>
      <c r="C67" s="5">
        <v>146043</v>
      </c>
      <c r="D67" s="5">
        <v>201875</v>
      </c>
      <c r="E67" s="5">
        <v>285970</v>
      </c>
    </row>
    <row r="68" spans="1:5" x14ac:dyDescent="0.25">
      <c r="A68" s="4" t="s">
        <v>66</v>
      </c>
      <c r="B68" s="5">
        <v>0</v>
      </c>
      <c r="C68" s="5">
        <v>0</v>
      </c>
      <c r="D68" s="5">
        <v>0</v>
      </c>
      <c r="E68" s="5">
        <v>0</v>
      </c>
    </row>
    <row r="69" spans="1:5" x14ac:dyDescent="0.25">
      <c r="A69" s="8" t="s">
        <v>67</v>
      </c>
      <c r="B69" s="9">
        <v>138245</v>
      </c>
      <c r="C69" s="9">
        <v>146043</v>
      </c>
      <c r="D69" s="9">
        <v>201875</v>
      </c>
      <c r="E69" s="9">
        <v>285970</v>
      </c>
    </row>
    <row r="70" spans="1:5" x14ac:dyDescent="0.25">
      <c r="A70" s="4" t="s">
        <v>68</v>
      </c>
      <c r="B70" s="5">
        <v>420549</v>
      </c>
      <c r="C70" s="5">
        <v>462675</v>
      </c>
      <c r="D70" s="5">
        <v>527854</v>
      </c>
      <c r="E70" s="5">
        <v>624894</v>
      </c>
    </row>
    <row r="71" spans="1:5" x14ac:dyDescent="0.25">
      <c r="A71" s="1"/>
    </row>
    <row r="72" spans="1:5" x14ac:dyDescent="0.25">
      <c r="A72" s="3" t="s">
        <v>69</v>
      </c>
    </row>
    <row r="73" spans="1:5" x14ac:dyDescent="0.25">
      <c r="A73" s="8" t="s">
        <v>70</v>
      </c>
      <c r="B73" s="9">
        <v>469822</v>
      </c>
      <c r="C73" s="9">
        <v>513983</v>
      </c>
      <c r="D73" s="9">
        <v>574785</v>
      </c>
      <c r="E73" s="9">
        <v>637959</v>
      </c>
    </row>
    <row r="74" spans="1:5" x14ac:dyDescent="0.25">
      <c r="A74" s="4" t="s">
        <v>71</v>
      </c>
      <c r="B74" s="5">
        <v>249435</v>
      </c>
      <c r="C74" s="5">
        <v>263907</v>
      </c>
      <c r="D74" s="5">
        <v>274514</v>
      </c>
      <c r="E74" s="5">
        <v>294221</v>
      </c>
    </row>
    <row r="75" spans="1:5" x14ac:dyDescent="0.25">
      <c r="A75" s="4" t="s">
        <v>72</v>
      </c>
      <c r="B75" s="5">
        <v>172537</v>
      </c>
      <c r="C75" s="5">
        <v>211641</v>
      </c>
      <c r="D75" s="5">
        <v>232427</v>
      </c>
      <c r="E75" s="5">
        <v>242315</v>
      </c>
    </row>
    <row r="76" spans="1:5" x14ac:dyDescent="0.25">
      <c r="A76" s="4" t="s">
        <v>73</v>
      </c>
      <c r="B76" s="5">
        <v>47850</v>
      </c>
      <c r="C76" s="5">
        <v>38435</v>
      </c>
      <c r="D76" s="5">
        <v>67844</v>
      </c>
      <c r="E76" s="5">
        <v>101423</v>
      </c>
    </row>
    <row r="77" spans="1:5" x14ac:dyDescent="0.25">
      <c r="A77" s="4" t="s">
        <v>74</v>
      </c>
      <c r="B77" s="5">
        <v>23421</v>
      </c>
      <c r="C77" s="5">
        <v>25528</v>
      </c>
      <c r="D77" s="5">
        <v>30931</v>
      </c>
      <c r="E77" s="5">
        <v>31985</v>
      </c>
    </row>
    <row r="78" spans="1:5" x14ac:dyDescent="0.25">
      <c r="A78" s="4" t="s">
        <v>75</v>
      </c>
      <c r="B78" s="5">
        <v>512</v>
      </c>
      <c r="C78" s="5">
        <v>604</v>
      </c>
      <c r="D78" s="5">
        <v>706</v>
      </c>
      <c r="E78" s="5">
        <v>838</v>
      </c>
    </row>
    <row r="79" spans="1:5" x14ac:dyDescent="0.25">
      <c r="A79" s="4" t="s">
        <v>76</v>
      </c>
      <c r="B79" s="4" t="s">
        <v>18</v>
      </c>
      <c r="C79" s="4" t="s">
        <v>18</v>
      </c>
      <c r="D79" s="4" t="s">
        <v>18</v>
      </c>
      <c r="E79" s="4" t="s">
        <v>18</v>
      </c>
    </row>
    <row r="80" spans="1:5" x14ac:dyDescent="0.25">
      <c r="A80" s="4" t="s">
        <v>77</v>
      </c>
      <c r="B80" s="4" t="s">
        <v>18</v>
      </c>
      <c r="C80" s="4" t="s">
        <v>18</v>
      </c>
      <c r="D80" s="4" t="s">
        <v>18</v>
      </c>
      <c r="E80" s="4" t="s">
        <v>18</v>
      </c>
    </row>
    <row r="81" spans="1:5" x14ac:dyDescent="0.25">
      <c r="A81" s="8" t="s">
        <v>78</v>
      </c>
      <c r="B81" s="9">
        <v>24429</v>
      </c>
      <c r="C81" s="9">
        <v>12907</v>
      </c>
      <c r="D81" s="9">
        <v>36913</v>
      </c>
      <c r="E81" s="9">
        <v>69438</v>
      </c>
    </row>
    <row r="82" spans="1:5" x14ac:dyDescent="0.25">
      <c r="A82" s="4" t="s">
        <v>79</v>
      </c>
      <c r="B82" s="5">
        <v>1809</v>
      </c>
      <c r="C82" s="5">
        <v>2367</v>
      </c>
      <c r="D82" s="5">
        <v>3182</v>
      </c>
      <c r="E82" s="5">
        <v>2406</v>
      </c>
    </row>
    <row r="83" spans="1:5" x14ac:dyDescent="0.25">
      <c r="A83" s="4" t="s">
        <v>80</v>
      </c>
      <c r="B83" s="5">
        <v>15535</v>
      </c>
      <c r="C83" s="5">
        <v>-15379</v>
      </c>
      <c r="D83" s="5">
        <v>3814</v>
      </c>
      <c r="E83" s="5">
        <v>2401</v>
      </c>
    </row>
    <row r="84" spans="1:5" x14ac:dyDescent="0.25">
      <c r="A84" s="4" t="s">
        <v>81</v>
      </c>
      <c r="B84" s="5">
        <v>15087</v>
      </c>
      <c r="C84" s="5">
        <v>-16368</v>
      </c>
      <c r="D84" s="5">
        <v>865</v>
      </c>
      <c r="E84" s="5">
        <v>-2276</v>
      </c>
    </row>
    <row r="85" spans="1:5" x14ac:dyDescent="0.25">
      <c r="A85" s="4" t="s">
        <v>82</v>
      </c>
      <c r="B85" s="5">
        <v>448</v>
      </c>
      <c r="C85" s="5">
        <v>989</v>
      </c>
      <c r="D85" s="5">
        <v>2949</v>
      </c>
      <c r="E85" s="5">
        <v>4677</v>
      </c>
    </row>
    <row r="86" spans="1:5" x14ac:dyDescent="0.25">
      <c r="A86" s="4" t="s">
        <v>83</v>
      </c>
      <c r="B86" s="4" t="s">
        <v>18</v>
      </c>
      <c r="C86" s="5">
        <v>-1100</v>
      </c>
      <c r="D86" s="5">
        <v>0</v>
      </c>
      <c r="E86" s="5">
        <v>-920</v>
      </c>
    </row>
    <row r="87" spans="1:5" x14ac:dyDescent="0.25">
      <c r="A87" s="4" t="s">
        <v>84</v>
      </c>
      <c r="B87" s="5">
        <v>38155</v>
      </c>
      <c r="C87" s="5">
        <v>-5939</v>
      </c>
      <c r="D87" s="5">
        <v>37545</v>
      </c>
      <c r="E87" s="5">
        <v>68513</v>
      </c>
    </row>
    <row r="88" spans="1:5" x14ac:dyDescent="0.25">
      <c r="A88" s="4" t="s">
        <v>85</v>
      </c>
      <c r="B88" s="5">
        <v>35879</v>
      </c>
      <c r="C88" s="5">
        <v>-8225</v>
      </c>
      <c r="D88" s="5">
        <v>32328</v>
      </c>
      <c r="E88" s="5">
        <v>61947</v>
      </c>
    </row>
    <row r="89" spans="1:5" x14ac:dyDescent="0.25">
      <c r="A89" s="4" t="s">
        <v>86</v>
      </c>
      <c r="B89" s="5">
        <v>2272</v>
      </c>
      <c r="C89" s="5">
        <v>2289</v>
      </c>
      <c r="D89" s="5">
        <v>5229</v>
      </c>
      <c r="E89" s="5">
        <v>6667</v>
      </c>
    </row>
    <row r="90" spans="1:5" x14ac:dyDescent="0.25">
      <c r="A90" s="4" t="s">
        <v>87</v>
      </c>
      <c r="B90" s="5">
        <v>4791</v>
      </c>
      <c r="C90" s="5">
        <v>-3217</v>
      </c>
      <c r="D90" s="5">
        <v>7120</v>
      </c>
      <c r="E90" s="5">
        <v>9265</v>
      </c>
    </row>
    <row r="91" spans="1:5" x14ac:dyDescent="0.25">
      <c r="A91" s="4" t="s">
        <v>88</v>
      </c>
      <c r="B91" s="5">
        <v>-310</v>
      </c>
      <c r="C91" s="5">
        <v>-8148</v>
      </c>
      <c r="D91" s="5">
        <v>-5876</v>
      </c>
      <c r="E91" s="5">
        <v>-4648</v>
      </c>
    </row>
    <row r="92" spans="1:5" x14ac:dyDescent="0.25">
      <c r="A92" s="4" t="s">
        <v>89</v>
      </c>
      <c r="B92" s="5">
        <v>155</v>
      </c>
      <c r="C92" s="5">
        <v>-6686</v>
      </c>
      <c r="D92" s="5">
        <v>-5505</v>
      </c>
      <c r="E92" s="5">
        <v>-4101</v>
      </c>
    </row>
    <row r="93" spans="1:5" x14ac:dyDescent="0.25">
      <c r="A93" s="4" t="s">
        <v>90</v>
      </c>
      <c r="B93" s="5">
        <v>-287</v>
      </c>
      <c r="C93" s="5">
        <v>-160</v>
      </c>
      <c r="D93" s="5">
        <v>127</v>
      </c>
      <c r="E93" s="5">
        <v>-94</v>
      </c>
    </row>
    <row r="94" spans="1:5" x14ac:dyDescent="0.25">
      <c r="A94" s="4" t="s">
        <v>91</v>
      </c>
      <c r="B94" s="5">
        <v>-178</v>
      </c>
      <c r="C94" s="5">
        <v>-1302</v>
      </c>
      <c r="D94" s="5">
        <v>-498</v>
      </c>
      <c r="E94" s="5">
        <v>-453</v>
      </c>
    </row>
    <row r="95" spans="1:5" x14ac:dyDescent="0.25">
      <c r="A95" s="4" t="s">
        <v>92</v>
      </c>
      <c r="B95" s="5">
        <v>2129</v>
      </c>
      <c r="C95" s="5">
        <v>2175</v>
      </c>
      <c r="D95" s="5">
        <v>8652</v>
      </c>
      <c r="E95" s="5">
        <v>9039</v>
      </c>
    </row>
    <row r="96" spans="1:5" x14ac:dyDescent="0.25">
      <c r="A96" s="4" t="s">
        <v>93</v>
      </c>
      <c r="B96" s="5">
        <v>2209</v>
      </c>
      <c r="C96" s="5">
        <v>1682</v>
      </c>
      <c r="D96" s="5">
        <v>2186</v>
      </c>
      <c r="E96" s="5">
        <v>2765</v>
      </c>
    </row>
    <row r="97" spans="1:5" x14ac:dyDescent="0.25">
      <c r="A97" s="4" t="s">
        <v>94</v>
      </c>
      <c r="B97" s="5">
        <v>763</v>
      </c>
      <c r="C97" s="5">
        <v>1074</v>
      </c>
      <c r="D97" s="5">
        <v>2158</v>
      </c>
      <c r="E97" s="5">
        <v>2109</v>
      </c>
    </row>
    <row r="98" spans="1:5" x14ac:dyDescent="0.25">
      <c r="A98" s="4" t="s">
        <v>95</v>
      </c>
      <c r="B98" s="5">
        <v>0</v>
      </c>
      <c r="C98" s="5">
        <v>0</v>
      </c>
      <c r="D98" s="5">
        <v>0</v>
      </c>
      <c r="E98" s="5">
        <v>0</v>
      </c>
    </row>
    <row r="99" spans="1:5" x14ac:dyDescent="0.25">
      <c r="A99" s="4" t="s">
        <v>96</v>
      </c>
      <c r="B99" s="5">
        <v>0</v>
      </c>
      <c r="C99" s="5">
        <v>0</v>
      </c>
      <c r="D99" s="5">
        <v>0</v>
      </c>
      <c r="E99" s="5">
        <v>0</v>
      </c>
    </row>
    <row r="100" spans="1:5" x14ac:dyDescent="0.25">
      <c r="A100" s="4" t="s">
        <v>97</v>
      </c>
      <c r="B100" s="5">
        <v>33364</v>
      </c>
      <c r="C100" s="5">
        <v>-2722</v>
      </c>
      <c r="D100" s="5">
        <v>30425</v>
      </c>
      <c r="E100" s="5">
        <v>59248</v>
      </c>
    </row>
    <row r="101" spans="1:5" x14ac:dyDescent="0.25">
      <c r="A101" s="4" t="s">
        <v>98</v>
      </c>
      <c r="B101" s="5">
        <v>0</v>
      </c>
      <c r="C101" s="5">
        <v>0</v>
      </c>
      <c r="D101" s="5">
        <v>0</v>
      </c>
      <c r="E101" s="5">
        <v>0</v>
      </c>
    </row>
    <row r="102" spans="1:5" x14ac:dyDescent="0.25">
      <c r="A102" s="4" t="s">
        <v>99</v>
      </c>
      <c r="B102" s="5">
        <v>33364</v>
      </c>
      <c r="C102" s="5">
        <v>-2722</v>
      </c>
      <c r="D102" s="5">
        <v>30425</v>
      </c>
      <c r="E102" s="5">
        <v>59248</v>
      </c>
    </row>
    <row r="103" spans="1:5" x14ac:dyDescent="0.25">
      <c r="A103" s="4" t="s">
        <v>100</v>
      </c>
      <c r="B103" s="5">
        <v>0</v>
      </c>
      <c r="C103" s="5">
        <v>0</v>
      </c>
      <c r="D103" s="5">
        <v>0</v>
      </c>
      <c r="E103" s="5">
        <v>0</v>
      </c>
    </row>
    <row r="104" spans="1:5" x14ac:dyDescent="0.25">
      <c r="A104" s="4" t="s">
        <v>101</v>
      </c>
      <c r="B104" s="5">
        <v>33364</v>
      </c>
      <c r="C104" s="5">
        <v>-2722</v>
      </c>
      <c r="D104" s="5">
        <v>30425</v>
      </c>
      <c r="E104" s="5">
        <v>59248</v>
      </c>
    </row>
    <row r="105" spans="1:5" x14ac:dyDescent="0.25">
      <c r="A105" s="4" t="s">
        <v>102</v>
      </c>
      <c r="B105" s="5">
        <v>0</v>
      </c>
      <c r="C105" s="5">
        <v>0</v>
      </c>
      <c r="D105" s="5">
        <v>0</v>
      </c>
      <c r="E105" s="5">
        <v>0</v>
      </c>
    </row>
    <row r="106" spans="1:5" x14ac:dyDescent="0.25">
      <c r="A106" s="4" t="s">
        <v>103</v>
      </c>
      <c r="B106" s="5">
        <v>0</v>
      </c>
      <c r="C106" s="5">
        <v>0</v>
      </c>
      <c r="D106" s="5">
        <v>0</v>
      </c>
      <c r="E106" s="5">
        <v>0</v>
      </c>
    </row>
    <row r="107" spans="1:5" x14ac:dyDescent="0.25">
      <c r="A107" s="4" t="s">
        <v>104</v>
      </c>
      <c r="B107" s="5">
        <v>0</v>
      </c>
      <c r="C107" s="5">
        <v>0</v>
      </c>
      <c r="D107" s="5">
        <v>0</v>
      </c>
      <c r="E107" s="5">
        <v>0</v>
      </c>
    </row>
    <row r="108" spans="1:5" x14ac:dyDescent="0.25">
      <c r="A108" s="4" t="s">
        <v>105</v>
      </c>
      <c r="B108" s="5">
        <v>33364</v>
      </c>
      <c r="C108" s="5">
        <v>-2722</v>
      </c>
      <c r="D108" s="5">
        <v>30425</v>
      </c>
      <c r="E108" s="5">
        <v>59248</v>
      </c>
    </row>
    <row r="109" spans="1:5" x14ac:dyDescent="0.25">
      <c r="A109" s="4" t="s">
        <v>106</v>
      </c>
      <c r="B109" s="5">
        <v>33364</v>
      </c>
      <c r="C109" s="5">
        <v>-2722</v>
      </c>
      <c r="D109" s="5">
        <v>30425</v>
      </c>
      <c r="E109" s="5">
        <v>59248</v>
      </c>
    </row>
    <row r="110" spans="1:5" x14ac:dyDescent="0.25">
      <c r="A110" s="1"/>
    </row>
    <row r="111" spans="1:5" x14ac:dyDescent="0.25">
      <c r="A111" s="3" t="s">
        <v>107</v>
      </c>
    </row>
    <row r="112" spans="1:5" x14ac:dyDescent="0.25">
      <c r="A112" s="1" t="s">
        <v>108</v>
      </c>
    </row>
    <row r="113" spans="1:5" x14ac:dyDescent="0.25">
      <c r="A113" s="4" t="s">
        <v>97</v>
      </c>
      <c r="B113" s="5">
        <v>33364</v>
      </c>
      <c r="C113" s="5">
        <v>-2722</v>
      </c>
      <c r="D113" s="5">
        <v>30425</v>
      </c>
      <c r="E113" s="5">
        <v>59248</v>
      </c>
    </row>
    <row r="114" spans="1:5" x14ac:dyDescent="0.25">
      <c r="A114" s="4" t="s">
        <v>74</v>
      </c>
      <c r="B114" s="4" t="s">
        <v>18</v>
      </c>
      <c r="C114" s="4" t="s">
        <v>18</v>
      </c>
      <c r="D114" s="4" t="s">
        <v>18</v>
      </c>
      <c r="E114" s="4" t="s">
        <v>18</v>
      </c>
    </row>
    <row r="115" spans="1:5" x14ac:dyDescent="0.25">
      <c r="A115" s="4" t="s">
        <v>102</v>
      </c>
      <c r="B115" s="5">
        <v>0</v>
      </c>
      <c r="C115" s="5">
        <v>0</v>
      </c>
      <c r="D115" s="5">
        <v>0</v>
      </c>
      <c r="E115" s="5">
        <v>0</v>
      </c>
    </row>
    <row r="116" spans="1:5" x14ac:dyDescent="0.25">
      <c r="A116" s="4" t="s">
        <v>109</v>
      </c>
      <c r="B116" s="5">
        <v>-310</v>
      </c>
      <c r="C116" s="5">
        <v>-8148</v>
      </c>
      <c r="D116" s="5">
        <v>-5876</v>
      </c>
      <c r="E116" s="5">
        <v>-4648</v>
      </c>
    </row>
    <row r="117" spans="1:5" x14ac:dyDescent="0.25">
      <c r="A117" s="4" t="s">
        <v>110</v>
      </c>
      <c r="B117" s="4" t="s">
        <v>18</v>
      </c>
      <c r="C117" s="4" t="s">
        <v>18</v>
      </c>
      <c r="D117" s="4" t="s">
        <v>18</v>
      </c>
      <c r="E117" s="4" t="s">
        <v>18</v>
      </c>
    </row>
    <row r="118" spans="1:5" x14ac:dyDescent="0.25">
      <c r="A118" s="4" t="s">
        <v>111</v>
      </c>
      <c r="B118" s="5">
        <v>0</v>
      </c>
      <c r="C118" s="5">
        <v>0</v>
      </c>
      <c r="D118" s="5">
        <v>0</v>
      </c>
      <c r="E118" s="5">
        <v>0</v>
      </c>
    </row>
    <row r="119" spans="1:5" x14ac:dyDescent="0.25">
      <c r="A119" s="4" t="s">
        <v>112</v>
      </c>
      <c r="B119" s="5">
        <v>32884</v>
      </c>
      <c r="C119" s="5">
        <v>78508</v>
      </c>
      <c r="D119" s="5">
        <v>71938</v>
      </c>
      <c r="E119" s="5">
        <v>76818</v>
      </c>
    </row>
    <row r="120" spans="1:5" x14ac:dyDescent="0.25">
      <c r="A120" s="4" t="s">
        <v>113</v>
      </c>
      <c r="B120" s="4" t="s">
        <v>18</v>
      </c>
      <c r="C120" s="4" t="s">
        <v>18</v>
      </c>
      <c r="D120" s="4" t="s">
        <v>18</v>
      </c>
      <c r="E120" s="4" t="s">
        <v>18</v>
      </c>
    </row>
    <row r="121" spans="1:5" x14ac:dyDescent="0.25">
      <c r="A121" s="4" t="s">
        <v>114</v>
      </c>
      <c r="B121" s="5">
        <v>-9487</v>
      </c>
      <c r="C121" s="5">
        <v>-2592</v>
      </c>
      <c r="D121" s="5">
        <v>1449</v>
      </c>
      <c r="E121" s="5">
        <v>-1884</v>
      </c>
    </row>
    <row r="122" spans="1:5" x14ac:dyDescent="0.25">
      <c r="A122" s="4" t="s">
        <v>115</v>
      </c>
      <c r="B122" s="4" t="s">
        <v>18</v>
      </c>
      <c r="C122" s="4" t="s">
        <v>18</v>
      </c>
      <c r="D122" s="4" t="s">
        <v>18</v>
      </c>
      <c r="E122" s="4" t="s">
        <v>18</v>
      </c>
    </row>
    <row r="123" spans="1:5" x14ac:dyDescent="0.25">
      <c r="A123" s="4" t="s">
        <v>116</v>
      </c>
      <c r="B123" s="5">
        <v>0</v>
      </c>
      <c r="C123" s="5">
        <v>0</v>
      </c>
      <c r="D123" s="5">
        <v>0</v>
      </c>
      <c r="E123" s="5">
        <v>0</v>
      </c>
    </row>
    <row r="124" spans="1:5" x14ac:dyDescent="0.25">
      <c r="A124" s="4" t="s">
        <v>117</v>
      </c>
      <c r="B124" s="5">
        <v>-10124</v>
      </c>
      <c r="C124" s="5">
        <v>-18294</v>
      </c>
      <c r="D124" s="5">
        <v>-12990</v>
      </c>
      <c r="E124" s="5">
        <v>-13657</v>
      </c>
    </row>
    <row r="125" spans="1:5" x14ac:dyDescent="0.25">
      <c r="A125" s="4" t="s">
        <v>118</v>
      </c>
      <c r="B125" s="5">
        <v>46327</v>
      </c>
      <c r="C125" s="5">
        <v>46752</v>
      </c>
      <c r="D125" s="5">
        <v>84946</v>
      </c>
      <c r="E125" s="5">
        <v>115877</v>
      </c>
    </row>
    <row r="126" spans="1:5" x14ac:dyDescent="0.25">
      <c r="A126" s="1" t="s">
        <v>119</v>
      </c>
    </row>
    <row r="127" spans="1:5" x14ac:dyDescent="0.25">
      <c r="A127" s="4" t="s">
        <v>120</v>
      </c>
      <c r="B127" s="5">
        <v>0</v>
      </c>
      <c r="C127" s="5">
        <v>0</v>
      </c>
      <c r="D127" s="5">
        <v>0</v>
      </c>
      <c r="E127" s="5">
        <v>0</v>
      </c>
    </row>
    <row r="128" spans="1:5" x14ac:dyDescent="0.25">
      <c r="A128" s="4" t="s">
        <v>121</v>
      </c>
      <c r="B128" s="5">
        <v>0</v>
      </c>
      <c r="C128" s="5">
        <v>0</v>
      </c>
      <c r="D128" s="5">
        <v>0</v>
      </c>
      <c r="E128" s="5">
        <v>0</v>
      </c>
    </row>
    <row r="129" spans="1:5" x14ac:dyDescent="0.25">
      <c r="A129" s="4" t="s">
        <v>122</v>
      </c>
      <c r="B129" s="5">
        <v>-773</v>
      </c>
      <c r="C129" s="5">
        <v>29036</v>
      </c>
      <c r="D129" s="5">
        <v>4139</v>
      </c>
      <c r="E129" s="5">
        <v>-9602</v>
      </c>
    </row>
    <row r="130" spans="1:5" x14ac:dyDescent="0.25">
      <c r="A130" s="4" t="s">
        <v>123</v>
      </c>
      <c r="B130" s="5">
        <v>61053</v>
      </c>
      <c r="C130" s="5">
        <v>63645</v>
      </c>
      <c r="D130" s="5">
        <v>52729</v>
      </c>
      <c r="E130" s="5">
        <v>82999</v>
      </c>
    </row>
    <row r="131" spans="1:5" x14ac:dyDescent="0.25">
      <c r="A131" s="4" t="s">
        <v>124</v>
      </c>
      <c r="B131" s="4" t="s">
        <v>18</v>
      </c>
      <c r="C131" s="4" t="s">
        <v>18</v>
      </c>
      <c r="D131" s="4" t="s">
        <v>18</v>
      </c>
      <c r="E131" s="4" t="s">
        <v>18</v>
      </c>
    </row>
    <row r="132" spans="1:5" x14ac:dyDescent="0.25">
      <c r="A132" s="4" t="s">
        <v>125</v>
      </c>
      <c r="B132" s="4" t="s">
        <v>18</v>
      </c>
      <c r="C132" s="5">
        <v>6100</v>
      </c>
      <c r="D132" s="4" t="s">
        <v>18</v>
      </c>
      <c r="E132" s="4" t="s">
        <v>18</v>
      </c>
    </row>
    <row r="133" spans="1:5" x14ac:dyDescent="0.25">
      <c r="A133" s="4" t="s">
        <v>126</v>
      </c>
      <c r="B133" s="5">
        <v>3672</v>
      </c>
      <c r="C133" s="5">
        <v>3108</v>
      </c>
      <c r="D133" s="5">
        <v>-1243</v>
      </c>
      <c r="E133" s="5">
        <v>-1741</v>
      </c>
    </row>
    <row r="134" spans="1:5" x14ac:dyDescent="0.25">
      <c r="A134" s="4" t="s">
        <v>127</v>
      </c>
      <c r="B134" s="5">
        <v>-58154</v>
      </c>
      <c r="C134" s="5">
        <v>-37601</v>
      </c>
      <c r="D134" s="5">
        <v>-49833</v>
      </c>
      <c r="E134" s="5">
        <v>-94342</v>
      </c>
    </row>
    <row r="135" spans="1:5" x14ac:dyDescent="0.25">
      <c r="A135" s="1" t="s">
        <v>128</v>
      </c>
    </row>
    <row r="136" spans="1:5" x14ac:dyDescent="0.25">
      <c r="A136" s="4" t="s">
        <v>129</v>
      </c>
      <c r="B136" s="5">
        <v>0</v>
      </c>
      <c r="C136" s="5">
        <v>0</v>
      </c>
      <c r="D136" s="5">
        <v>0</v>
      </c>
      <c r="E136" s="5">
        <v>0</v>
      </c>
    </row>
    <row r="137" spans="1:5" x14ac:dyDescent="0.25">
      <c r="A137" s="4" t="s">
        <v>130</v>
      </c>
      <c r="B137" s="5">
        <v>0</v>
      </c>
      <c r="C137" s="5">
        <v>6000</v>
      </c>
      <c r="D137" s="5">
        <v>0</v>
      </c>
      <c r="E137" s="5">
        <v>0</v>
      </c>
    </row>
    <row r="138" spans="1:5" x14ac:dyDescent="0.25">
      <c r="A138" s="4" t="s">
        <v>131</v>
      </c>
      <c r="B138" s="5">
        <v>0</v>
      </c>
      <c r="C138" s="5">
        <v>0</v>
      </c>
      <c r="D138" s="5">
        <v>0</v>
      </c>
      <c r="E138" s="5">
        <v>0</v>
      </c>
    </row>
    <row r="139" spans="1:5" x14ac:dyDescent="0.25">
      <c r="A139" s="4" t="s">
        <v>132</v>
      </c>
      <c r="B139" s="5">
        <v>19003</v>
      </c>
      <c r="C139" s="5">
        <v>21166</v>
      </c>
      <c r="D139" s="5">
        <v>0</v>
      </c>
      <c r="E139" s="5">
        <v>0</v>
      </c>
    </row>
    <row r="140" spans="1:5" x14ac:dyDescent="0.25">
      <c r="A140" s="4" t="s">
        <v>133</v>
      </c>
      <c r="B140" s="5">
        <v>12915</v>
      </c>
      <c r="C140" s="5">
        <v>9447</v>
      </c>
      <c r="D140" s="5">
        <v>8331</v>
      </c>
      <c r="E140" s="5">
        <v>11894</v>
      </c>
    </row>
    <row r="141" spans="1:5" x14ac:dyDescent="0.25">
      <c r="A141" s="4" t="s">
        <v>134</v>
      </c>
      <c r="B141" s="4" t="s">
        <v>18</v>
      </c>
      <c r="C141" s="4" t="s">
        <v>18</v>
      </c>
      <c r="D141" s="4" t="s">
        <v>18</v>
      </c>
      <c r="E141" s="4" t="s">
        <v>18</v>
      </c>
    </row>
    <row r="142" spans="1:5" x14ac:dyDescent="0.25">
      <c r="A142" s="4" t="s">
        <v>135</v>
      </c>
      <c r="B142" s="5">
        <v>203</v>
      </c>
      <c r="C142" s="5">
        <v>3999</v>
      </c>
      <c r="D142" s="5">
        <v>-7548</v>
      </c>
      <c r="E142" s="5">
        <v>82</v>
      </c>
    </row>
    <row r="143" spans="1:5" x14ac:dyDescent="0.25">
      <c r="A143" s="4" t="s">
        <v>136</v>
      </c>
      <c r="B143" s="5">
        <v>6291</v>
      </c>
      <c r="C143" s="5">
        <v>9718</v>
      </c>
      <c r="D143" s="5">
        <v>-15879</v>
      </c>
      <c r="E143" s="5">
        <v>-11812</v>
      </c>
    </row>
    <row r="144" spans="1:5" x14ac:dyDescent="0.25">
      <c r="A144" s="4" t="s">
        <v>137</v>
      </c>
      <c r="B144" s="5">
        <v>-364</v>
      </c>
      <c r="C144" s="5">
        <v>-1093</v>
      </c>
      <c r="D144" s="5">
        <v>403</v>
      </c>
      <c r="E144" s="5">
        <v>-1301</v>
      </c>
    </row>
    <row r="145" spans="1:5" x14ac:dyDescent="0.25">
      <c r="A145" s="4" t="s">
        <v>138</v>
      </c>
      <c r="B145" s="5">
        <v>-5900</v>
      </c>
      <c r="C145" s="5">
        <v>17776</v>
      </c>
      <c r="D145" s="5">
        <v>19637</v>
      </c>
      <c r="E145" s="5">
        <v>8422</v>
      </c>
    </row>
    <row r="146" spans="1:5" x14ac:dyDescent="0.25">
      <c r="A146" s="1" t="s">
        <v>139</v>
      </c>
    </row>
    <row r="147" spans="1:5" x14ac:dyDescent="0.25">
      <c r="A147" s="4" t="s">
        <v>140</v>
      </c>
      <c r="B147" s="5">
        <v>1772</v>
      </c>
      <c r="C147" s="5">
        <v>2142</v>
      </c>
      <c r="D147" s="5">
        <v>3112</v>
      </c>
      <c r="E147" s="5">
        <v>2364</v>
      </c>
    </row>
    <row r="148" spans="1:5" x14ac:dyDescent="0.25">
      <c r="A148" s="4" t="s">
        <v>141</v>
      </c>
      <c r="B148" s="5">
        <v>3688</v>
      </c>
      <c r="C148" s="5">
        <v>6035</v>
      </c>
      <c r="D148" s="5">
        <v>11179</v>
      </c>
      <c r="E148" s="5">
        <v>12308</v>
      </c>
    </row>
    <row r="149" spans="1:5" x14ac:dyDescent="0.25">
      <c r="A149" s="1"/>
    </row>
    <row r="150" spans="1:5" x14ac:dyDescent="0.25">
      <c r="A150" s="3" t="s">
        <v>142</v>
      </c>
    </row>
    <row r="151" spans="1:5" x14ac:dyDescent="0.25">
      <c r="A151" s="4" t="s">
        <v>143</v>
      </c>
      <c r="B151" s="4" t="s">
        <v>18</v>
      </c>
      <c r="C151" s="4" t="s">
        <v>18</v>
      </c>
      <c r="D151" s="4" t="s">
        <v>18</v>
      </c>
      <c r="E151" s="4" t="s">
        <v>18</v>
      </c>
    </row>
    <row r="152" spans="1:5" x14ac:dyDescent="0.25">
      <c r="A152" s="4" t="s">
        <v>144</v>
      </c>
      <c r="B152" s="4" t="s">
        <v>18</v>
      </c>
      <c r="C152" s="4" t="s">
        <v>18</v>
      </c>
      <c r="D152" s="4" t="s">
        <v>18</v>
      </c>
      <c r="E152" s="4" t="s">
        <v>18</v>
      </c>
    </row>
    <row r="153" spans="1:5" x14ac:dyDescent="0.25">
      <c r="A153" s="4" t="s">
        <v>145</v>
      </c>
      <c r="B153" s="5">
        <v>20</v>
      </c>
      <c r="C153" s="5">
        <v>1</v>
      </c>
      <c r="D153" s="5">
        <v>1</v>
      </c>
      <c r="E153" s="5">
        <v>1</v>
      </c>
    </row>
    <row r="154" spans="1:5" x14ac:dyDescent="0.25">
      <c r="A154" s="4" t="s">
        <v>146</v>
      </c>
      <c r="B154" s="5">
        <v>16900</v>
      </c>
      <c r="C154" s="5">
        <v>20600</v>
      </c>
      <c r="D154" s="5">
        <v>20300</v>
      </c>
      <c r="E154" s="5">
        <v>21400</v>
      </c>
    </row>
    <row r="155" spans="1:5" x14ac:dyDescent="0.25">
      <c r="A155" s="4" t="s">
        <v>147</v>
      </c>
      <c r="B155" s="4" t="s">
        <v>18</v>
      </c>
      <c r="C155" s="4" t="s">
        <v>18</v>
      </c>
      <c r="D155" s="4" t="s">
        <v>18</v>
      </c>
      <c r="E155" s="4" t="s">
        <v>18</v>
      </c>
    </row>
    <row r="156" spans="1:5" x14ac:dyDescent="0.25">
      <c r="A156" s="4" t="s">
        <v>148</v>
      </c>
      <c r="B156" s="4" t="s">
        <v>18</v>
      </c>
      <c r="C156" s="4" t="s">
        <v>18</v>
      </c>
      <c r="D156" s="4" t="s">
        <v>18</v>
      </c>
      <c r="E156" s="4" t="s">
        <v>18</v>
      </c>
    </row>
    <row r="157" spans="1:5" x14ac:dyDescent="0.25">
      <c r="A157" s="4" t="s">
        <v>149</v>
      </c>
      <c r="B157" s="5">
        <v>7.282</v>
      </c>
      <c r="C157" s="5">
        <v>10.845000000000001</v>
      </c>
      <c r="D157" s="5">
        <v>11.656000000000001</v>
      </c>
      <c r="E157" s="5">
        <v>12.135</v>
      </c>
    </row>
    <row r="158" spans="1:5" x14ac:dyDescent="0.25">
      <c r="A158" s="4" t="s">
        <v>150</v>
      </c>
      <c r="B158" s="5">
        <v>849678208</v>
      </c>
      <c r="C158" s="5">
        <v>18998275230</v>
      </c>
      <c r="D158" s="5">
        <v>14590213740</v>
      </c>
      <c r="E158" s="5">
        <v>10228754190</v>
      </c>
    </row>
    <row r="159" spans="1:5" x14ac:dyDescent="0.25">
      <c r="A159" s="4" t="s">
        <v>151</v>
      </c>
      <c r="B159" s="4" t="s">
        <v>18</v>
      </c>
      <c r="C159" s="4" t="s">
        <v>18</v>
      </c>
      <c r="D159" s="4" t="s">
        <v>18</v>
      </c>
      <c r="E159" s="4" t="s">
        <v>18</v>
      </c>
    </row>
    <row r="160" spans="1:5" x14ac:dyDescent="0.25">
      <c r="A160" s="4" t="s">
        <v>152</v>
      </c>
      <c r="B160" s="5">
        <v>0</v>
      </c>
      <c r="C160" s="5">
        <v>0</v>
      </c>
      <c r="D160" s="5">
        <v>0</v>
      </c>
      <c r="E160" s="5">
        <v>0</v>
      </c>
    </row>
    <row r="161" spans="1:5" x14ac:dyDescent="0.25">
      <c r="A161" s="4" t="s">
        <v>153</v>
      </c>
      <c r="B161" s="5">
        <v>8754</v>
      </c>
      <c r="C161" s="5">
        <v>11212</v>
      </c>
      <c r="D161" s="5">
        <v>7219</v>
      </c>
      <c r="E161" s="5">
        <v>4760</v>
      </c>
    </row>
    <row r="162" spans="1:5" x14ac:dyDescent="0.25">
      <c r="A162" s="4" t="s">
        <v>154</v>
      </c>
      <c r="B162" s="5">
        <v>8447</v>
      </c>
      <c r="C162" s="5">
        <v>7127</v>
      </c>
      <c r="D162" s="5">
        <v>4983</v>
      </c>
      <c r="E162" s="5">
        <v>10590</v>
      </c>
    </row>
    <row r="163" spans="1:5" x14ac:dyDescent="0.25">
      <c r="A163" s="4" t="s">
        <v>155</v>
      </c>
      <c r="B163" s="5">
        <v>4015</v>
      </c>
      <c r="C163" s="5">
        <v>5286</v>
      </c>
      <c r="D163" s="5">
        <v>10349</v>
      </c>
      <c r="E163" s="5">
        <v>3895</v>
      </c>
    </row>
    <row r="164" spans="1:5" x14ac:dyDescent="0.25">
      <c r="A164" s="4" t="s">
        <v>156</v>
      </c>
      <c r="B164" s="5">
        <v>4387</v>
      </c>
      <c r="C164" s="5">
        <v>10309</v>
      </c>
      <c r="D164" s="5">
        <v>3756</v>
      </c>
      <c r="E164" s="5">
        <v>4562</v>
      </c>
    </row>
    <row r="165" spans="1:5" x14ac:dyDescent="0.25">
      <c r="A165" s="4" t="s">
        <v>157</v>
      </c>
      <c r="B165" s="4" t="s">
        <v>18</v>
      </c>
      <c r="C165" s="4" t="s">
        <v>18</v>
      </c>
      <c r="D165" s="4" t="s">
        <v>18</v>
      </c>
      <c r="E165" s="4" t="s">
        <v>18</v>
      </c>
    </row>
    <row r="166" spans="1:5" x14ac:dyDescent="0.25">
      <c r="A166" s="4" t="s">
        <v>158</v>
      </c>
      <c r="B166" s="5">
        <v>30952</v>
      </c>
      <c r="C166" s="5">
        <v>23791</v>
      </c>
      <c r="D166" s="5">
        <v>19860</v>
      </c>
      <c r="E166" s="5">
        <v>18014</v>
      </c>
    </row>
    <row r="167" spans="1:5" x14ac:dyDescent="0.25">
      <c r="A167" s="4" t="s">
        <v>159</v>
      </c>
      <c r="B167" s="5">
        <v>-318</v>
      </c>
      <c r="C167" s="5">
        <v>-393</v>
      </c>
      <c r="D167" s="5">
        <v>-374</v>
      </c>
      <c r="E167" s="5">
        <v>-360</v>
      </c>
    </row>
    <row r="168" spans="1:5" x14ac:dyDescent="0.25">
      <c r="A168" s="4" t="s">
        <v>160</v>
      </c>
      <c r="B168" s="5">
        <v>0</v>
      </c>
      <c r="C168" s="5">
        <v>0</v>
      </c>
      <c r="D168" s="5">
        <v>0</v>
      </c>
      <c r="E168" s="5">
        <v>0</v>
      </c>
    </row>
    <row r="169" spans="1:5" x14ac:dyDescent="0.25">
      <c r="A169" s="4" t="s">
        <v>161</v>
      </c>
      <c r="B169" s="5">
        <v>0</v>
      </c>
      <c r="C169" s="5">
        <v>0</v>
      </c>
      <c r="D169" s="5">
        <v>0</v>
      </c>
      <c r="E169" s="5">
        <v>0</v>
      </c>
    </row>
    <row r="170" spans="1:5" x14ac:dyDescent="0.25">
      <c r="A170" s="4" t="s">
        <v>162</v>
      </c>
      <c r="B170" s="5">
        <v>0</v>
      </c>
      <c r="C170" s="5">
        <v>0</v>
      </c>
      <c r="D170" s="5">
        <v>0</v>
      </c>
      <c r="E170" s="5">
        <v>0</v>
      </c>
    </row>
    <row r="171" spans="1:5" x14ac:dyDescent="0.25">
      <c r="A171" s="4" t="s">
        <v>163</v>
      </c>
      <c r="B171" s="5">
        <v>1608</v>
      </c>
      <c r="C171" s="5">
        <v>1541</v>
      </c>
      <c r="D171" s="5">
        <v>1525</v>
      </c>
      <c r="E171" s="5">
        <v>1556</v>
      </c>
    </row>
    <row r="172" spans="1:5" x14ac:dyDescent="0.25">
      <c r="A172" s="4" t="s">
        <v>164</v>
      </c>
      <c r="B172" s="5">
        <v>420549</v>
      </c>
      <c r="C172" s="5">
        <v>462675</v>
      </c>
      <c r="D172" s="5">
        <v>527854</v>
      </c>
      <c r="E172" s="5">
        <v>624894</v>
      </c>
    </row>
    <row r="173" spans="1:5" x14ac:dyDescent="0.25">
      <c r="A173" s="4" t="s">
        <v>165</v>
      </c>
      <c r="B173" s="5">
        <v>-1294</v>
      </c>
      <c r="C173" s="5">
        <v>-3880</v>
      </c>
      <c r="D173" s="5">
        <v>-2853</v>
      </c>
      <c r="E173" s="5">
        <v>-6186</v>
      </c>
    </row>
    <row r="174" spans="1:5" x14ac:dyDescent="0.25">
      <c r="A174" s="4" t="s">
        <v>166</v>
      </c>
      <c r="B174" s="5">
        <v>-55</v>
      </c>
      <c r="C174" s="5">
        <v>-340</v>
      </c>
      <c r="D174" s="5">
        <v>65</v>
      </c>
      <c r="E174" s="5">
        <v>-408</v>
      </c>
    </row>
    <row r="175" spans="1:5" x14ac:dyDescent="0.25">
      <c r="A175" s="4" t="s">
        <v>167</v>
      </c>
      <c r="B175" s="5">
        <v>0</v>
      </c>
      <c r="C175" s="5">
        <v>0</v>
      </c>
      <c r="D175" s="5">
        <v>0</v>
      </c>
      <c r="E175" s="5">
        <v>0</v>
      </c>
    </row>
    <row r="176" spans="1:5" x14ac:dyDescent="0.25">
      <c r="A176" s="4" t="s">
        <v>168</v>
      </c>
      <c r="B176" s="4" t="s">
        <v>18</v>
      </c>
      <c r="C176" s="4" t="s">
        <v>18</v>
      </c>
      <c r="D176" s="4" t="s">
        <v>18</v>
      </c>
      <c r="E176" s="4" t="s">
        <v>18</v>
      </c>
    </row>
    <row r="177" spans="1:5" x14ac:dyDescent="0.25">
      <c r="A177" s="4" t="s">
        <v>169</v>
      </c>
      <c r="B177" s="4" t="s">
        <v>18</v>
      </c>
      <c r="C177" s="4" t="s">
        <v>18</v>
      </c>
      <c r="D177" s="4" t="s">
        <v>18</v>
      </c>
      <c r="E177" s="4" t="s">
        <v>18</v>
      </c>
    </row>
    <row r="178" spans="1:5" x14ac:dyDescent="0.25">
      <c r="A178" s="4" t="s">
        <v>170</v>
      </c>
      <c r="B178" s="5">
        <v>0</v>
      </c>
      <c r="C178" s="5">
        <v>0</v>
      </c>
      <c r="D178" s="5">
        <v>0</v>
      </c>
      <c r="E178" s="5">
        <v>0</v>
      </c>
    </row>
    <row r="179" spans="1:5" x14ac:dyDescent="0.25">
      <c r="A179" s="4" t="s">
        <v>171</v>
      </c>
      <c r="B179" s="4" t="s">
        <v>18</v>
      </c>
      <c r="C179" s="4" t="s">
        <v>18</v>
      </c>
      <c r="D179" s="4" t="s">
        <v>18</v>
      </c>
      <c r="E179" s="4" t="s">
        <v>18</v>
      </c>
    </row>
    <row r="180" spans="1:5" x14ac:dyDescent="0.25">
      <c r="A180" s="4" t="s">
        <v>172</v>
      </c>
      <c r="B180" s="5">
        <v>0</v>
      </c>
      <c r="C180" s="5">
        <v>0</v>
      </c>
      <c r="D180" s="5">
        <v>0</v>
      </c>
      <c r="E180" s="5">
        <v>0</v>
      </c>
    </row>
    <row r="181" spans="1:5" x14ac:dyDescent="0.25">
      <c r="A181" s="4" t="s">
        <v>173</v>
      </c>
      <c r="B181" s="5">
        <v>0</v>
      </c>
      <c r="C181" s="5">
        <v>0</v>
      </c>
      <c r="D181" s="5">
        <v>0</v>
      </c>
      <c r="E181" s="5">
        <v>0</v>
      </c>
    </row>
    <row r="182" spans="1:5" x14ac:dyDescent="0.25">
      <c r="A182" s="4" t="s">
        <v>174</v>
      </c>
      <c r="B182" s="5">
        <v>0</v>
      </c>
      <c r="C182" s="5">
        <v>0</v>
      </c>
      <c r="D182" s="5">
        <v>0</v>
      </c>
      <c r="E182" s="5">
        <v>0</v>
      </c>
    </row>
    <row r="183" spans="1:5" x14ac:dyDescent="0.25">
      <c r="A183" s="4" t="s">
        <v>175</v>
      </c>
      <c r="B183" s="5">
        <v>0</v>
      </c>
      <c r="C183" s="5">
        <v>0</v>
      </c>
      <c r="D183" s="5">
        <v>0</v>
      </c>
      <c r="E183" s="5">
        <v>0</v>
      </c>
    </row>
    <row r="184" spans="1:5" x14ac:dyDescent="0.25">
      <c r="A184" s="4" t="s">
        <v>176</v>
      </c>
      <c r="B184" s="5">
        <v>0</v>
      </c>
      <c r="C184" s="5">
        <v>0</v>
      </c>
      <c r="D184" s="5">
        <v>0</v>
      </c>
      <c r="E184" s="5">
        <v>0</v>
      </c>
    </row>
    <row r="185" spans="1:5" x14ac:dyDescent="0.25">
      <c r="A185" s="4" t="s">
        <v>177</v>
      </c>
      <c r="B185" s="5">
        <v>56082</v>
      </c>
      <c r="C185" s="5">
        <v>66123</v>
      </c>
      <c r="D185" s="5">
        <v>72513</v>
      </c>
      <c r="E185" s="5">
        <v>76141</v>
      </c>
    </row>
    <row r="186" spans="1:5" x14ac:dyDescent="0.25">
      <c r="A186" s="4" t="s">
        <v>178</v>
      </c>
      <c r="B186" s="5">
        <v>3334.34</v>
      </c>
      <c r="C186" s="5">
        <v>84</v>
      </c>
      <c r="D186" s="5">
        <v>151.94</v>
      </c>
      <c r="E186" s="5">
        <v>219.39</v>
      </c>
    </row>
    <row r="187" spans="1:5" x14ac:dyDescent="0.25">
      <c r="A187" s="4" t="s">
        <v>179</v>
      </c>
      <c r="B187" s="5">
        <v>3773.0781999999999</v>
      </c>
      <c r="C187" s="5">
        <v>171.4</v>
      </c>
      <c r="D187" s="5">
        <v>155.63</v>
      </c>
      <c r="E187" s="5">
        <v>233</v>
      </c>
    </row>
    <row r="188" spans="1:5" x14ac:dyDescent="0.25">
      <c r="A188" s="4" t="s">
        <v>180</v>
      </c>
      <c r="B188" s="5">
        <v>2881.0001000000002</v>
      </c>
      <c r="C188" s="5">
        <v>81.69</v>
      </c>
      <c r="D188" s="5">
        <v>81.430000000000007</v>
      </c>
      <c r="E188" s="5">
        <v>144.05000000000001</v>
      </c>
    </row>
    <row r="189" spans="1:5" x14ac:dyDescent="0.25">
      <c r="A189" s="4" t="s">
        <v>181</v>
      </c>
      <c r="B189" s="5">
        <v>3334.34</v>
      </c>
      <c r="C189" s="5">
        <v>84</v>
      </c>
      <c r="D189" s="5">
        <v>151.94</v>
      </c>
      <c r="E189" s="5">
        <v>219.39</v>
      </c>
    </row>
    <row r="190" spans="1:5" x14ac:dyDescent="0.25">
      <c r="A190" s="4" t="s">
        <v>182</v>
      </c>
      <c r="B190" s="5">
        <v>1100</v>
      </c>
      <c r="C190" s="5">
        <v>1400</v>
      </c>
      <c r="D190" s="5">
        <v>1700</v>
      </c>
      <c r="E190" s="5">
        <v>2000</v>
      </c>
    </row>
    <row r="191" spans="1:5" x14ac:dyDescent="0.25">
      <c r="A191" s="4" t="s">
        <v>183</v>
      </c>
      <c r="B191" s="5">
        <v>7838</v>
      </c>
      <c r="C191" s="5">
        <v>9574</v>
      </c>
      <c r="D191" s="5">
        <v>11229</v>
      </c>
      <c r="E191" s="5">
        <v>12002</v>
      </c>
    </row>
    <row r="192" spans="1:5" x14ac:dyDescent="0.25">
      <c r="A192" s="4" t="s">
        <v>184</v>
      </c>
      <c r="B192" s="5">
        <v>7178</v>
      </c>
      <c r="C192" s="5">
        <v>8658</v>
      </c>
      <c r="D192" s="5">
        <v>9922</v>
      </c>
      <c r="E192" s="5">
        <v>11023</v>
      </c>
    </row>
    <row r="193" spans="1:5" x14ac:dyDescent="0.25">
      <c r="A193" s="4" t="s">
        <v>185</v>
      </c>
      <c r="B193" s="5">
        <v>6649</v>
      </c>
      <c r="C193" s="5">
        <v>8024</v>
      </c>
      <c r="D193" s="5">
        <v>9156</v>
      </c>
      <c r="E193" s="5">
        <v>10087</v>
      </c>
    </row>
    <row r="194" spans="1:5" x14ac:dyDescent="0.25">
      <c r="A194" s="4" t="s">
        <v>186</v>
      </c>
      <c r="B194" s="5">
        <v>6128</v>
      </c>
      <c r="C194" s="5">
        <v>7393</v>
      </c>
      <c r="D194" s="5">
        <v>8321</v>
      </c>
      <c r="E194" s="5">
        <v>9205</v>
      </c>
    </row>
    <row r="195" spans="1:5" x14ac:dyDescent="0.25">
      <c r="A195" s="4" t="s">
        <v>187</v>
      </c>
      <c r="B195" s="5">
        <v>5574</v>
      </c>
      <c r="C195" s="5">
        <v>6675</v>
      </c>
      <c r="D195" s="5">
        <v>7546</v>
      </c>
      <c r="E195" s="5">
        <v>8534</v>
      </c>
    </row>
    <row r="196" spans="1:5" x14ac:dyDescent="0.25">
      <c r="A196" s="4" t="s">
        <v>188</v>
      </c>
      <c r="B196" s="5">
        <v>8755</v>
      </c>
      <c r="C196" s="5">
        <v>10669</v>
      </c>
      <c r="D196" s="5">
        <v>12715</v>
      </c>
      <c r="E196" s="5">
        <v>14426</v>
      </c>
    </row>
    <row r="197" spans="1:5" x14ac:dyDescent="0.25">
      <c r="A197" s="4" t="s">
        <v>189</v>
      </c>
      <c r="B197" s="4" t="s">
        <v>18</v>
      </c>
      <c r="C197" s="4" t="s">
        <v>18</v>
      </c>
      <c r="D197" s="4" t="s">
        <v>18</v>
      </c>
      <c r="E197" s="4" t="s">
        <v>18</v>
      </c>
    </row>
    <row r="198" spans="1:5" x14ac:dyDescent="0.25">
      <c r="A198" s="4" t="s">
        <v>190</v>
      </c>
      <c r="B198" s="5">
        <v>56052</v>
      </c>
      <c r="C198" s="5">
        <v>73213</v>
      </c>
      <c r="D198" s="5">
        <v>85622</v>
      </c>
      <c r="E198" s="5">
        <v>88544</v>
      </c>
    </row>
    <row r="199" spans="1:5" x14ac:dyDescent="0.25">
      <c r="A199" s="4" t="s">
        <v>191</v>
      </c>
      <c r="B199" s="5">
        <v>9200</v>
      </c>
      <c r="C199" s="5">
        <v>10400</v>
      </c>
      <c r="D199" s="5">
        <v>10200</v>
      </c>
      <c r="E199" s="5">
        <v>9900</v>
      </c>
    </row>
    <row r="200" spans="1:5" x14ac:dyDescent="0.25">
      <c r="A200" s="4" t="s">
        <v>192</v>
      </c>
      <c r="B200" s="5">
        <v>1837</v>
      </c>
      <c r="C200" s="5">
        <v>7837</v>
      </c>
      <c r="D200" s="5">
        <v>7837</v>
      </c>
      <c r="E200" s="5">
        <v>7837</v>
      </c>
    </row>
    <row r="201" spans="1:5" x14ac:dyDescent="0.25">
      <c r="A201" s="4" t="s">
        <v>193</v>
      </c>
      <c r="B201" s="5">
        <v>0</v>
      </c>
      <c r="C201" s="5">
        <v>0</v>
      </c>
      <c r="D201" s="5">
        <v>0</v>
      </c>
      <c r="E201" s="5">
        <v>0</v>
      </c>
    </row>
    <row r="202" spans="1:5" x14ac:dyDescent="0.25">
      <c r="A202" s="4" t="s">
        <v>194</v>
      </c>
      <c r="B202" s="5">
        <v>23</v>
      </c>
      <c r="C202" s="5">
        <v>515</v>
      </c>
      <c r="D202" s="5">
        <v>515</v>
      </c>
      <c r="E202" s="5">
        <v>515</v>
      </c>
    </row>
    <row r="203" spans="1:5" x14ac:dyDescent="0.25">
      <c r="A203" s="1"/>
    </row>
    <row r="204" spans="1:5" x14ac:dyDescent="0.25">
      <c r="A204" s="3" t="s">
        <v>195</v>
      </c>
    </row>
    <row r="205" spans="1:5" x14ac:dyDescent="0.25">
      <c r="A205" s="4" t="s">
        <v>196</v>
      </c>
      <c r="B205" s="5">
        <v>26500</v>
      </c>
      <c r="C205" s="5">
        <v>34800</v>
      </c>
      <c r="D205" s="5">
        <v>43600</v>
      </c>
      <c r="E205" s="5">
        <v>45900</v>
      </c>
    </row>
    <row r="206" spans="1:5" x14ac:dyDescent="0.25">
      <c r="A206" s="4" t="s">
        <v>197</v>
      </c>
      <c r="B206" s="5">
        <v>0</v>
      </c>
      <c r="C206" s="5">
        <v>0</v>
      </c>
      <c r="D206" s="5">
        <v>0</v>
      </c>
      <c r="E206" s="5">
        <v>0</v>
      </c>
    </row>
    <row r="207" spans="1:5" x14ac:dyDescent="0.25">
      <c r="A207" s="4" t="s">
        <v>198</v>
      </c>
      <c r="B207" s="5">
        <v>0</v>
      </c>
      <c r="C207" s="5">
        <v>0</v>
      </c>
      <c r="D207" s="5">
        <v>3300</v>
      </c>
      <c r="E207" s="5">
        <v>3400</v>
      </c>
    </row>
    <row r="208" spans="1:5" x14ac:dyDescent="0.25">
      <c r="A208" s="4" t="s">
        <v>199</v>
      </c>
      <c r="B208" s="5">
        <v>26500</v>
      </c>
      <c r="C208" s="5">
        <v>34800</v>
      </c>
      <c r="D208" s="5">
        <v>46900</v>
      </c>
      <c r="E208" s="5">
        <v>49300</v>
      </c>
    </row>
    <row r="209" spans="1:5" x14ac:dyDescent="0.25">
      <c r="A209" s="4" t="s">
        <v>200</v>
      </c>
      <c r="B209" s="5">
        <v>0</v>
      </c>
      <c r="C209" s="5">
        <v>0</v>
      </c>
      <c r="D209" s="5">
        <v>0</v>
      </c>
      <c r="E209" s="5">
        <v>0</v>
      </c>
    </row>
    <row r="210" spans="1:5" x14ac:dyDescent="0.25">
      <c r="A210" s="4" t="s">
        <v>201</v>
      </c>
      <c r="B210" s="5">
        <v>0</v>
      </c>
      <c r="C210" s="5">
        <v>0</v>
      </c>
      <c r="D210" s="5">
        <v>0</v>
      </c>
      <c r="E210" s="5">
        <v>0</v>
      </c>
    </row>
    <row r="211" spans="1:5" x14ac:dyDescent="0.25">
      <c r="A211" s="4" t="s">
        <v>202</v>
      </c>
      <c r="B211" s="5">
        <v>31758</v>
      </c>
      <c r="C211" s="5">
        <v>33457</v>
      </c>
      <c r="D211" s="5">
        <v>32326</v>
      </c>
      <c r="E211" s="5">
        <v>33216</v>
      </c>
    </row>
    <row r="212" spans="1:5" x14ac:dyDescent="0.25">
      <c r="A212" s="4" t="s">
        <v>203</v>
      </c>
      <c r="B212" s="5">
        <v>0</v>
      </c>
      <c r="C212" s="5">
        <v>0</v>
      </c>
      <c r="D212" s="5">
        <v>0</v>
      </c>
      <c r="E212" s="5">
        <v>0</v>
      </c>
    </row>
    <row r="213" spans="1:5" x14ac:dyDescent="0.25">
      <c r="A213" s="4" t="s">
        <v>11</v>
      </c>
      <c r="B213" s="5">
        <v>31758</v>
      </c>
      <c r="C213" s="5">
        <v>33457</v>
      </c>
      <c r="D213" s="5">
        <v>32326</v>
      </c>
      <c r="E213" s="5">
        <v>33216</v>
      </c>
    </row>
    <row r="214" spans="1:5" x14ac:dyDescent="0.25">
      <c r="A214" s="4" t="s">
        <v>204</v>
      </c>
      <c r="B214" s="5">
        <v>0</v>
      </c>
      <c r="C214" s="5">
        <v>0</v>
      </c>
      <c r="D214" s="5">
        <v>0</v>
      </c>
      <c r="E214" s="5">
        <v>0</v>
      </c>
    </row>
    <row r="215" spans="1:5" x14ac:dyDescent="0.25">
      <c r="A215" s="4" t="s">
        <v>205</v>
      </c>
      <c r="B215" s="5">
        <v>0</v>
      </c>
      <c r="C215" s="5">
        <v>0</v>
      </c>
      <c r="D215" s="5">
        <v>0</v>
      </c>
      <c r="E215" s="5">
        <v>0</v>
      </c>
    </row>
    <row r="216" spans="1:5" x14ac:dyDescent="0.25">
      <c r="A216" s="4" t="s">
        <v>206</v>
      </c>
      <c r="B216" s="5">
        <v>0</v>
      </c>
      <c r="C216" s="5">
        <v>0</v>
      </c>
      <c r="D216" s="5">
        <v>0</v>
      </c>
      <c r="E216" s="5">
        <v>0</v>
      </c>
    </row>
    <row r="217" spans="1:5" x14ac:dyDescent="0.25">
      <c r="A217" s="4" t="s">
        <v>207</v>
      </c>
      <c r="B217" s="5">
        <v>0</v>
      </c>
      <c r="C217" s="5">
        <v>0</v>
      </c>
      <c r="D217" s="5">
        <v>0</v>
      </c>
      <c r="E217" s="5">
        <v>0</v>
      </c>
    </row>
    <row r="218" spans="1:5" x14ac:dyDescent="0.25">
      <c r="A218" s="4" t="s">
        <v>208</v>
      </c>
      <c r="B218" s="5">
        <v>49750</v>
      </c>
      <c r="C218" s="5">
        <v>69500</v>
      </c>
      <c r="D218" s="5">
        <v>66500</v>
      </c>
      <c r="E218" s="5">
        <v>58000</v>
      </c>
    </row>
    <row r="219" spans="1:5" x14ac:dyDescent="0.25">
      <c r="A219" s="4" t="s">
        <v>209</v>
      </c>
      <c r="B219" s="5">
        <v>0</v>
      </c>
      <c r="C219" s="5">
        <v>0</v>
      </c>
      <c r="D219" s="5">
        <v>0</v>
      </c>
      <c r="E219" s="5">
        <v>0</v>
      </c>
    </row>
    <row r="220" spans="1:5" x14ac:dyDescent="0.25">
      <c r="A220" s="4" t="s">
        <v>210</v>
      </c>
      <c r="B220" s="5">
        <v>65529</v>
      </c>
      <c r="C220" s="5">
        <v>77048</v>
      </c>
      <c r="D220" s="5">
        <v>83390</v>
      </c>
      <c r="E220" s="5">
        <v>87008</v>
      </c>
    </row>
    <row r="221" spans="1:5" x14ac:dyDescent="0.25">
      <c r="A221" s="4" t="s">
        <v>211</v>
      </c>
      <c r="B221" s="5">
        <v>23753</v>
      </c>
      <c r="C221" s="5">
        <v>15783</v>
      </c>
      <c r="D221" s="5">
        <v>12109</v>
      </c>
      <c r="E221" s="5">
        <v>10602</v>
      </c>
    </row>
    <row r="222" spans="1:5" x14ac:dyDescent="0.25">
      <c r="A222" s="4" t="s">
        <v>212</v>
      </c>
      <c r="B222" s="5">
        <v>122595</v>
      </c>
      <c r="C222" s="5">
        <v>146818</v>
      </c>
      <c r="D222" s="5">
        <v>142211</v>
      </c>
      <c r="E222" s="5">
        <v>138000</v>
      </c>
    </row>
    <row r="223" spans="1:5" x14ac:dyDescent="0.25">
      <c r="A223" s="1" t="s">
        <v>213</v>
      </c>
    </row>
    <row r="224" spans="1:5" x14ac:dyDescent="0.25">
      <c r="A224" s="4" t="s">
        <v>214</v>
      </c>
      <c r="B224" s="4" t="s">
        <v>18</v>
      </c>
      <c r="C224" s="4" t="s">
        <v>18</v>
      </c>
      <c r="D224" s="4" t="s">
        <v>18</v>
      </c>
      <c r="E224" s="4" t="s">
        <v>18</v>
      </c>
    </row>
    <row r="225" spans="1:5" x14ac:dyDescent="0.25">
      <c r="A225" s="4" t="s">
        <v>123</v>
      </c>
      <c r="B225" s="5">
        <v>61053</v>
      </c>
      <c r="C225" s="5">
        <v>63645</v>
      </c>
      <c r="D225" s="5">
        <v>52729</v>
      </c>
      <c r="E225" s="5">
        <v>82999</v>
      </c>
    </row>
    <row r="226" spans="1:5" x14ac:dyDescent="0.25">
      <c r="A226" s="4" t="s">
        <v>215</v>
      </c>
      <c r="B226" s="4" t="s">
        <v>18</v>
      </c>
      <c r="C226" s="4" t="s">
        <v>18</v>
      </c>
      <c r="D226" s="4" t="s">
        <v>18</v>
      </c>
      <c r="E226" s="4" t="s">
        <v>18</v>
      </c>
    </row>
    <row r="227" spans="1:5" x14ac:dyDescent="0.25">
      <c r="A227" s="4" t="s">
        <v>216</v>
      </c>
      <c r="B227" s="4" t="s">
        <v>18</v>
      </c>
      <c r="C227" s="4" t="s">
        <v>18</v>
      </c>
      <c r="D227" s="4" t="s">
        <v>18</v>
      </c>
      <c r="E227" s="4" t="s">
        <v>18</v>
      </c>
    </row>
    <row r="228" spans="1:5" x14ac:dyDescent="0.25">
      <c r="A228" s="4" t="s">
        <v>217</v>
      </c>
      <c r="B228" s="5">
        <v>294882</v>
      </c>
      <c r="C228" s="5">
        <v>349853</v>
      </c>
      <c r="D228" s="5">
        <v>396801</v>
      </c>
      <c r="E228" s="5">
        <v>470196</v>
      </c>
    </row>
    <row r="229" spans="1:5" x14ac:dyDescent="0.25">
      <c r="A229" s="1" t="s">
        <v>218</v>
      </c>
    </row>
    <row r="230" spans="1:5" x14ac:dyDescent="0.25">
      <c r="A230" s="4" t="s">
        <v>214</v>
      </c>
      <c r="B230" s="4" t="s">
        <v>18</v>
      </c>
      <c r="C230" s="4" t="s">
        <v>18</v>
      </c>
      <c r="D230" s="4" t="s">
        <v>18</v>
      </c>
      <c r="E230" s="4" t="s">
        <v>18</v>
      </c>
    </row>
    <row r="231" spans="1:5" x14ac:dyDescent="0.25">
      <c r="A231" s="4" t="s">
        <v>219</v>
      </c>
      <c r="B231" s="4" t="s">
        <v>18</v>
      </c>
      <c r="C231" s="4" t="s">
        <v>18</v>
      </c>
      <c r="D231" s="4" t="s">
        <v>18</v>
      </c>
      <c r="E231" s="4" t="s">
        <v>18</v>
      </c>
    </row>
    <row r="232" spans="1:5" x14ac:dyDescent="0.25">
      <c r="A232" s="4" t="s">
        <v>220</v>
      </c>
      <c r="B232" s="4" t="s">
        <v>18</v>
      </c>
      <c r="C232" s="4" t="s">
        <v>18</v>
      </c>
      <c r="D232" s="4" t="s">
        <v>18</v>
      </c>
      <c r="E232" s="4" t="s">
        <v>18</v>
      </c>
    </row>
    <row r="233" spans="1:5" x14ac:dyDescent="0.25">
      <c r="A233" s="4" t="s">
        <v>215</v>
      </c>
      <c r="B233" s="4" t="s">
        <v>18</v>
      </c>
      <c r="C233" s="4" t="s">
        <v>18</v>
      </c>
      <c r="D233" s="4" t="s">
        <v>18</v>
      </c>
      <c r="E233" s="4" t="s">
        <v>18</v>
      </c>
    </row>
    <row r="234" spans="1:5" x14ac:dyDescent="0.25">
      <c r="A234" s="4" t="s">
        <v>216</v>
      </c>
      <c r="B234" s="4" t="s">
        <v>18</v>
      </c>
      <c r="C234" s="4" t="s">
        <v>18</v>
      </c>
      <c r="D234" s="4" t="s">
        <v>18</v>
      </c>
      <c r="E234" s="4" t="s">
        <v>18</v>
      </c>
    </row>
    <row r="235" spans="1:5" x14ac:dyDescent="0.25">
      <c r="A235" s="4" t="s">
        <v>217</v>
      </c>
      <c r="B235" s="5">
        <v>78519</v>
      </c>
      <c r="C235" s="5">
        <v>97015</v>
      </c>
      <c r="D235" s="5">
        <v>120111</v>
      </c>
      <c r="E235" s="5">
        <v>141390</v>
      </c>
    </row>
    <row r="236" spans="1:5" x14ac:dyDescent="0.25">
      <c r="A236" s="4" t="s">
        <v>221</v>
      </c>
      <c r="B236" s="5">
        <v>155</v>
      </c>
      <c r="C236" s="5">
        <v>-6686</v>
      </c>
      <c r="D236" s="5">
        <v>-5505</v>
      </c>
      <c r="E236" s="5">
        <v>-4101</v>
      </c>
    </row>
    <row r="237" spans="1:5" x14ac:dyDescent="0.25">
      <c r="A237" s="4" t="s">
        <v>222</v>
      </c>
      <c r="B237" s="5">
        <v>-287</v>
      </c>
      <c r="C237" s="5">
        <v>-160</v>
      </c>
      <c r="D237" s="5">
        <v>127</v>
      </c>
      <c r="E237" s="5">
        <v>-94</v>
      </c>
    </row>
    <row r="238" spans="1:5" x14ac:dyDescent="0.25">
      <c r="A238" s="4" t="s">
        <v>223</v>
      </c>
      <c r="B238" s="5">
        <v>-178</v>
      </c>
      <c r="C238" s="5">
        <v>-1302</v>
      </c>
      <c r="D238" s="5">
        <v>-498</v>
      </c>
      <c r="E238" s="5">
        <v>-453</v>
      </c>
    </row>
    <row r="239" spans="1:5" x14ac:dyDescent="0.25">
      <c r="A239" s="4" t="s">
        <v>224</v>
      </c>
      <c r="B239" s="5">
        <v>2129</v>
      </c>
      <c r="C239" s="5">
        <v>2175</v>
      </c>
      <c r="D239" s="5">
        <v>8652</v>
      </c>
      <c r="E239" s="5">
        <v>9039</v>
      </c>
    </row>
    <row r="240" spans="1:5" x14ac:dyDescent="0.25">
      <c r="A240" s="4" t="s">
        <v>225</v>
      </c>
      <c r="B240" s="5">
        <v>2209</v>
      </c>
      <c r="C240" s="5">
        <v>1682</v>
      </c>
      <c r="D240" s="5">
        <v>2186</v>
      </c>
      <c r="E240" s="5">
        <v>2765</v>
      </c>
    </row>
    <row r="241" spans="1:5" x14ac:dyDescent="0.25">
      <c r="A241" s="4" t="s">
        <v>226</v>
      </c>
      <c r="B241" s="5">
        <v>763</v>
      </c>
      <c r="C241" s="5">
        <v>1074</v>
      </c>
      <c r="D241" s="5">
        <v>2158</v>
      </c>
      <c r="E241" s="5">
        <v>2109</v>
      </c>
    </row>
    <row r="242" spans="1:5" x14ac:dyDescent="0.25">
      <c r="A242" s="4" t="s">
        <v>227</v>
      </c>
      <c r="B242" s="5">
        <v>0</v>
      </c>
      <c r="C242" s="5">
        <v>0</v>
      </c>
      <c r="D242" s="5">
        <v>0</v>
      </c>
      <c r="E242" s="5">
        <v>0</v>
      </c>
    </row>
    <row r="243" spans="1:5" x14ac:dyDescent="0.25">
      <c r="A243" s="4" t="s">
        <v>87</v>
      </c>
      <c r="B243" s="5">
        <v>4791</v>
      </c>
      <c r="C243" s="5">
        <v>-3217</v>
      </c>
      <c r="D243" s="5">
        <v>7120</v>
      </c>
      <c r="E243" s="5">
        <v>9265</v>
      </c>
    </row>
    <row r="244" spans="1:5" x14ac:dyDescent="0.25">
      <c r="A244" s="1" t="s">
        <v>228</v>
      </c>
    </row>
    <row r="245" spans="1:5" x14ac:dyDescent="0.25">
      <c r="A245" s="4" t="s">
        <v>229</v>
      </c>
      <c r="B245" s="4" t="s">
        <v>18</v>
      </c>
      <c r="C245" s="4" t="s">
        <v>18</v>
      </c>
      <c r="D245" s="4" t="s">
        <v>18</v>
      </c>
      <c r="E245" s="4" t="s">
        <v>18</v>
      </c>
    </row>
    <row r="246" spans="1:5" x14ac:dyDescent="0.25">
      <c r="A246" s="4" t="s">
        <v>230</v>
      </c>
      <c r="B246" s="4" t="s">
        <v>18</v>
      </c>
      <c r="C246" s="4" t="s">
        <v>18</v>
      </c>
      <c r="D246" s="4" t="s">
        <v>18</v>
      </c>
      <c r="E246" s="4" t="s">
        <v>18</v>
      </c>
    </row>
    <row r="247" spans="1:5" x14ac:dyDescent="0.25">
      <c r="A247" s="4" t="s">
        <v>231</v>
      </c>
      <c r="B247" s="4" t="s">
        <v>18</v>
      </c>
      <c r="C247" s="4" t="s">
        <v>18</v>
      </c>
      <c r="D247" s="4" t="s">
        <v>18</v>
      </c>
      <c r="E247" s="4" t="s">
        <v>18</v>
      </c>
    </row>
    <row r="248" spans="1:5" x14ac:dyDescent="0.25">
      <c r="A248" s="4" t="s">
        <v>232</v>
      </c>
      <c r="B248" s="4" t="s">
        <v>18</v>
      </c>
      <c r="C248" s="4" t="s">
        <v>18</v>
      </c>
      <c r="D248" s="4" t="s">
        <v>18</v>
      </c>
      <c r="E248" s="4" t="s">
        <v>18</v>
      </c>
    </row>
    <row r="249" spans="1:5" x14ac:dyDescent="0.25">
      <c r="A249" s="4" t="s">
        <v>233</v>
      </c>
      <c r="B249" s="4" t="s">
        <v>18</v>
      </c>
      <c r="C249" s="4" t="s">
        <v>18</v>
      </c>
      <c r="D249" s="4" t="s">
        <v>18</v>
      </c>
      <c r="E249" s="4" t="s">
        <v>18</v>
      </c>
    </row>
    <row r="250" spans="1:5" x14ac:dyDescent="0.25">
      <c r="A250" s="1"/>
    </row>
    <row r="251" spans="1:5" x14ac:dyDescent="0.25">
      <c r="A251" s="3" t="s">
        <v>234</v>
      </c>
    </row>
    <row r="252" spans="1:5" x14ac:dyDescent="0.25">
      <c r="A252" s="4" t="s">
        <v>235</v>
      </c>
      <c r="B252" s="5">
        <v>96291</v>
      </c>
      <c r="C252" s="5">
        <v>70384</v>
      </c>
      <c r="D252" s="5">
        <v>87277</v>
      </c>
      <c r="E252" s="5">
        <v>101449</v>
      </c>
    </row>
    <row r="253" spans="1:5" x14ac:dyDescent="0.25">
      <c r="A253" s="4" t="s">
        <v>199</v>
      </c>
      <c r="B253" s="5">
        <v>26500</v>
      </c>
      <c r="C253" s="5">
        <v>34800</v>
      </c>
      <c r="D253" s="5">
        <v>46900</v>
      </c>
      <c r="E253" s="5">
        <v>49300</v>
      </c>
    </row>
    <row r="254" spans="1:5" x14ac:dyDescent="0.25">
      <c r="A254" s="4" t="s">
        <v>11</v>
      </c>
      <c r="B254" s="5">
        <v>31758</v>
      </c>
      <c r="C254" s="5">
        <v>33457</v>
      </c>
      <c r="D254" s="5">
        <v>32326</v>
      </c>
      <c r="E254" s="5">
        <v>33216</v>
      </c>
    </row>
    <row r="255" spans="1:5" x14ac:dyDescent="0.25">
      <c r="A255" s="4" t="s">
        <v>236</v>
      </c>
      <c r="B255" s="5">
        <v>0</v>
      </c>
      <c r="C255" s="5">
        <v>0</v>
      </c>
      <c r="D255" s="4" t="s">
        <v>18</v>
      </c>
      <c r="E255" s="4" t="s">
        <v>18</v>
      </c>
    </row>
    <row r="256" spans="1:5" x14ac:dyDescent="0.25">
      <c r="A256" s="4" t="s">
        <v>16</v>
      </c>
      <c r="B256" s="5">
        <v>7031</v>
      </c>
      <c r="C256" s="5">
        <v>8150</v>
      </c>
      <c r="D256" s="5">
        <v>5848</v>
      </c>
      <c r="E256" s="5">
        <v>6902</v>
      </c>
    </row>
    <row r="257" spans="1:5" x14ac:dyDescent="0.25">
      <c r="A257" s="4" t="s">
        <v>20</v>
      </c>
      <c r="B257" s="5">
        <v>161580</v>
      </c>
      <c r="C257" s="5">
        <v>146791</v>
      </c>
      <c r="D257" s="5">
        <v>172351</v>
      </c>
      <c r="E257" s="5">
        <v>190867</v>
      </c>
    </row>
    <row r="258" spans="1:5" x14ac:dyDescent="0.25">
      <c r="A258" s="4" t="s">
        <v>237</v>
      </c>
      <c r="B258" s="5">
        <v>294882</v>
      </c>
      <c r="C258" s="5">
        <v>349853</v>
      </c>
      <c r="D258" s="5">
        <v>396801</v>
      </c>
      <c r="E258" s="5">
        <v>470196</v>
      </c>
    </row>
    <row r="259" spans="1:5" x14ac:dyDescent="0.25">
      <c r="A259" s="4" t="s">
        <v>238</v>
      </c>
      <c r="B259" s="5">
        <v>78519</v>
      </c>
      <c r="C259" s="5">
        <v>97015</v>
      </c>
      <c r="D259" s="5">
        <v>120111</v>
      </c>
      <c r="E259" s="5">
        <v>141390</v>
      </c>
    </row>
    <row r="260" spans="1:5" x14ac:dyDescent="0.25">
      <c r="A260" s="4" t="s">
        <v>239</v>
      </c>
      <c r="B260" s="5">
        <v>216363</v>
      </c>
      <c r="C260" s="5">
        <v>252838</v>
      </c>
      <c r="D260" s="5">
        <v>276690</v>
      </c>
      <c r="E260" s="5">
        <v>328806</v>
      </c>
    </row>
    <row r="261" spans="1:5" x14ac:dyDescent="0.25">
      <c r="A261" s="4" t="s">
        <v>240</v>
      </c>
      <c r="B261" s="4" t="s">
        <v>18</v>
      </c>
      <c r="C261" s="4" t="s">
        <v>18</v>
      </c>
      <c r="D261" s="4" t="s">
        <v>18</v>
      </c>
      <c r="E261" s="4" t="s">
        <v>18</v>
      </c>
    </row>
    <row r="262" spans="1:5" x14ac:dyDescent="0.25">
      <c r="A262" s="4" t="s">
        <v>241</v>
      </c>
      <c r="B262" s="5">
        <v>6700</v>
      </c>
      <c r="C262" s="5">
        <v>4300</v>
      </c>
      <c r="D262" s="5">
        <v>5900</v>
      </c>
      <c r="E262" s="5">
        <v>20000</v>
      </c>
    </row>
    <row r="263" spans="1:5" x14ac:dyDescent="0.25">
      <c r="A263" s="4" t="s">
        <v>26</v>
      </c>
      <c r="B263" s="5">
        <v>20478</v>
      </c>
      <c r="C263" s="5">
        <v>26385</v>
      </c>
      <c r="D263" s="5">
        <v>30476</v>
      </c>
      <c r="E263" s="5">
        <v>31676</v>
      </c>
    </row>
    <row r="264" spans="1:5" x14ac:dyDescent="0.25">
      <c r="A264" s="4" t="s">
        <v>242</v>
      </c>
      <c r="B264" s="5">
        <v>0</v>
      </c>
      <c r="C264" s="5">
        <v>0</v>
      </c>
      <c r="D264" s="5">
        <v>0</v>
      </c>
      <c r="E264" s="5">
        <v>0</v>
      </c>
    </row>
    <row r="265" spans="1:5" x14ac:dyDescent="0.25">
      <c r="A265" s="4" t="s">
        <v>27</v>
      </c>
      <c r="B265" s="5">
        <v>15428</v>
      </c>
      <c r="C265" s="5">
        <v>32361</v>
      </c>
      <c r="D265" s="5">
        <v>42437</v>
      </c>
      <c r="E265" s="5">
        <v>53545</v>
      </c>
    </row>
    <row r="266" spans="1:5" x14ac:dyDescent="0.25">
      <c r="A266" s="4" t="s">
        <v>243</v>
      </c>
      <c r="B266" s="5">
        <v>420549</v>
      </c>
      <c r="C266" s="5">
        <v>462675</v>
      </c>
      <c r="D266" s="5">
        <v>527854</v>
      </c>
      <c r="E266" s="5">
        <v>624894</v>
      </c>
    </row>
    <row r="267" spans="1:5" x14ac:dyDescent="0.25">
      <c r="A267" s="4" t="s">
        <v>35</v>
      </c>
      <c r="B267" s="5">
        <v>78664</v>
      </c>
      <c r="C267" s="5">
        <v>79600</v>
      </c>
      <c r="D267" s="5">
        <v>84981</v>
      </c>
      <c r="E267" s="5">
        <v>94363</v>
      </c>
    </row>
    <row r="268" spans="1:5" x14ac:dyDescent="0.25">
      <c r="A268" s="4" t="s">
        <v>244</v>
      </c>
      <c r="B268" s="5">
        <v>1043</v>
      </c>
      <c r="C268" s="5">
        <v>8000</v>
      </c>
      <c r="D268" s="5">
        <v>147</v>
      </c>
      <c r="E268" s="5">
        <v>151</v>
      </c>
    </row>
    <row r="269" spans="1:5" x14ac:dyDescent="0.25">
      <c r="A269" s="4" t="s">
        <v>245</v>
      </c>
      <c r="B269" s="4" t="s">
        <v>18</v>
      </c>
      <c r="C269" s="4" t="s">
        <v>18</v>
      </c>
      <c r="D269" s="4" t="s">
        <v>18</v>
      </c>
      <c r="E269" s="4" t="s">
        <v>18</v>
      </c>
    </row>
    <row r="270" spans="1:5" x14ac:dyDescent="0.25">
      <c r="A270" s="4" t="s">
        <v>246</v>
      </c>
      <c r="B270" s="5">
        <v>0</v>
      </c>
      <c r="C270" s="5">
        <v>0</v>
      </c>
      <c r="D270" s="5">
        <v>0</v>
      </c>
      <c r="E270" s="5">
        <v>0</v>
      </c>
    </row>
    <row r="271" spans="1:5" x14ac:dyDescent="0.25">
      <c r="A271" s="4" t="s">
        <v>247</v>
      </c>
      <c r="B271" s="5">
        <v>16119</v>
      </c>
      <c r="C271" s="5">
        <v>15120</v>
      </c>
      <c r="D271" s="5">
        <v>19414</v>
      </c>
      <c r="E271" s="5">
        <v>17250</v>
      </c>
    </row>
    <row r="272" spans="1:5" x14ac:dyDescent="0.25">
      <c r="A272" s="4" t="s">
        <v>248</v>
      </c>
      <c r="B272" s="5">
        <v>46440</v>
      </c>
      <c r="C272" s="5">
        <v>52673</v>
      </c>
      <c r="D272" s="5">
        <v>60375</v>
      </c>
      <c r="E272" s="5">
        <v>67667</v>
      </c>
    </row>
    <row r="273" spans="1:5" x14ac:dyDescent="0.25">
      <c r="A273" s="4" t="s">
        <v>249</v>
      </c>
      <c r="B273" s="5">
        <v>142266</v>
      </c>
      <c r="C273" s="5">
        <v>155393</v>
      </c>
      <c r="D273" s="5">
        <v>164917</v>
      </c>
      <c r="E273" s="5">
        <v>179431</v>
      </c>
    </row>
    <row r="274" spans="1:5" x14ac:dyDescent="0.25">
      <c r="A274" s="4" t="s">
        <v>250</v>
      </c>
      <c r="B274" s="5">
        <v>122595</v>
      </c>
      <c r="C274" s="5">
        <v>146818</v>
      </c>
      <c r="D274" s="5">
        <v>142211</v>
      </c>
      <c r="E274" s="5">
        <v>138000</v>
      </c>
    </row>
    <row r="275" spans="1:5" x14ac:dyDescent="0.25">
      <c r="A275" s="4" t="s">
        <v>251</v>
      </c>
      <c r="B275" s="4" t="s">
        <v>18</v>
      </c>
      <c r="C275" s="4" t="s">
        <v>18</v>
      </c>
      <c r="D275" s="4" t="s">
        <v>18</v>
      </c>
      <c r="E275" s="4" t="s">
        <v>18</v>
      </c>
    </row>
    <row r="276" spans="1:5" x14ac:dyDescent="0.25">
      <c r="A276" s="4" t="s">
        <v>170</v>
      </c>
      <c r="B276" s="5">
        <v>0</v>
      </c>
      <c r="C276" s="5">
        <v>0</v>
      </c>
      <c r="D276" s="5">
        <v>0</v>
      </c>
      <c r="E276" s="5">
        <v>0</v>
      </c>
    </row>
    <row r="277" spans="1:5" x14ac:dyDescent="0.25">
      <c r="A277" s="4" t="s">
        <v>50</v>
      </c>
      <c r="B277" s="5">
        <v>17443</v>
      </c>
      <c r="C277" s="5">
        <v>14421</v>
      </c>
      <c r="D277" s="5">
        <v>18851</v>
      </c>
      <c r="E277" s="5">
        <v>21493</v>
      </c>
    </row>
    <row r="278" spans="1:5" x14ac:dyDescent="0.25">
      <c r="A278" s="4" t="s">
        <v>252</v>
      </c>
      <c r="B278" s="4" t="s">
        <v>18</v>
      </c>
      <c r="C278" s="4" t="s">
        <v>18</v>
      </c>
      <c r="D278" s="4" t="s">
        <v>18</v>
      </c>
      <c r="E278" s="4" t="s">
        <v>18</v>
      </c>
    </row>
    <row r="279" spans="1:5" x14ac:dyDescent="0.25">
      <c r="A279" s="4" t="s">
        <v>54</v>
      </c>
      <c r="B279" s="5">
        <v>0</v>
      </c>
      <c r="C279" s="5">
        <v>0</v>
      </c>
      <c r="D279" s="5">
        <v>0</v>
      </c>
      <c r="E279" s="5">
        <v>0</v>
      </c>
    </row>
    <row r="280" spans="1:5" x14ac:dyDescent="0.25">
      <c r="A280" s="4" t="s">
        <v>230</v>
      </c>
      <c r="B280" s="5">
        <v>0</v>
      </c>
      <c r="C280" s="5">
        <v>0</v>
      </c>
      <c r="D280" s="5">
        <v>0</v>
      </c>
      <c r="E280" s="5">
        <v>0</v>
      </c>
    </row>
    <row r="281" spans="1:5" x14ac:dyDescent="0.25">
      <c r="A281" s="4" t="s">
        <v>253</v>
      </c>
      <c r="B281" s="5">
        <v>5</v>
      </c>
      <c r="C281" s="5">
        <v>108</v>
      </c>
      <c r="D281" s="5">
        <v>109</v>
      </c>
      <c r="E281" s="5">
        <v>111</v>
      </c>
    </row>
    <row r="282" spans="1:5" x14ac:dyDescent="0.25">
      <c r="A282" s="4" t="s">
        <v>254</v>
      </c>
      <c r="B282" s="5">
        <v>55538</v>
      </c>
      <c r="C282" s="5">
        <v>75066</v>
      </c>
      <c r="D282" s="5">
        <v>99025</v>
      </c>
      <c r="E282" s="5">
        <v>120864</v>
      </c>
    </row>
    <row r="283" spans="1:5" x14ac:dyDescent="0.25">
      <c r="A283" s="4" t="s">
        <v>255</v>
      </c>
      <c r="B283" s="5">
        <v>84539</v>
      </c>
      <c r="C283" s="5">
        <v>78706</v>
      </c>
      <c r="D283" s="5">
        <v>110578</v>
      </c>
      <c r="E283" s="5">
        <v>172832</v>
      </c>
    </row>
    <row r="284" spans="1:5" x14ac:dyDescent="0.25">
      <c r="A284" s="4" t="s">
        <v>256</v>
      </c>
      <c r="B284" s="5">
        <v>1837</v>
      </c>
      <c r="C284" s="5">
        <v>7837</v>
      </c>
      <c r="D284" s="5">
        <v>7837</v>
      </c>
      <c r="E284" s="5">
        <v>7837</v>
      </c>
    </row>
    <row r="285" spans="1:5" x14ac:dyDescent="0.25">
      <c r="A285" s="4" t="s">
        <v>65</v>
      </c>
      <c r="B285" s="5">
        <v>138245</v>
      </c>
      <c r="C285" s="5">
        <v>146043</v>
      </c>
      <c r="D285" s="5">
        <v>201875</v>
      </c>
      <c r="E285" s="5">
        <v>285970</v>
      </c>
    </row>
    <row r="286" spans="1:5" x14ac:dyDescent="0.25">
      <c r="A286" s="4" t="s">
        <v>66</v>
      </c>
      <c r="B286" s="5">
        <v>0</v>
      </c>
      <c r="C286" s="5">
        <v>0</v>
      </c>
      <c r="D286" s="5">
        <v>0</v>
      </c>
      <c r="E286" s="5">
        <v>0</v>
      </c>
    </row>
    <row r="287" spans="1:5" x14ac:dyDescent="0.25">
      <c r="A287" s="4" t="s">
        <v>257</v>
      </c>
      <c r="B287" s="5">
        <v>138245</v>
      </c>
      <c r="C287" s="5">
        <v>146043</v>
      </c>
      <c r="D287" s="5">
        <v>201875</v>
      </c>
      <c r="E287" s="5">
        <v>285970</v>
      </c>
    </row>
    <row r="288" spans="1:5" x14ac:dyDescent="0.25">
      <c r="A288" s="4" t="s">
        <v>70</v>
      </c>
      <c r="B288" s="5">
        <v>469822</v>
      </c>
      <c r="C288" s="5">
        <v>513983</v>
      </c>
      <c r="D288" s="5">
        <v>574785</v>
      </c>
      <c r="E288" s="5">
        <v>637959</v>
      </c>
    </row>
    <row r="289" spans="1:5" x14ac:dyDescent="0.25">
      <c r="A289" s="4" t="s">
        <v>71</v>
      </c>
      <c r="B289" s="5">
        <v>249435</v>
      </c>
      <c r="C289" s="5">
        <v>263907</v>
      </c>
      <c r="D289" s="5">
        <v>274514</v>
      </c>
      <c r="E289" s="5">
        <v>294221</v>
      </c>
    </row>
    <row r="290" spans="1:5" x14ac:dyDescent="0.25">
      <c r="A290" s="4" t="s">
        <v>258</v>
      </c>
      <c r="B290" s="5">
        <v>0</v>
      </c>
      <c r="C290" s="5">
        <v>0</v>
      </c>
      <c r="D290" s="5">
        <v>0</v>
      </c>
      <c r="E290" s="5">
        <v>0</v>
      </c>
    </row>
    <row r="291" spans="1:5" x14ac:dyDescent="0.25">
      <c r="A291" s="4" t="s">
        <v>259</v>
      </c>
      <c r="B291" s="5">
        <v>172537</v>
      </c>
      <c r="C291" s="5">
        <v>211641</v>
      </c>
      <c r="D291" s="5">
        <v>232427</v>
      </c>
      <c r="E291" s="5">
        <v>242315</v>
      </c>
    </row>
    <row r="292" spans="1:5" x14ac:dyDescent="0.25">
      <c r="A292" s="4" t="s">
        <v>73</v>
      </c>
      <c r="B292" s="5">
        <v>47850</v>
      </c>
      <c r="C292" s="5">
        <v>38435</v>
      </c>
      <c r="D292" s="5">
        <v>67844</v>
      </c>
      <c r="E292" s="5">
        <v>101423</v>
      </c>
    </row>
    <row r="293" spans="1:5" x14ac:dyDescent="0.25">
      <c r="A293" s="4" t="s">
        <v>260</v>
      </c>
      <c r="B293" s="5">
        <v>23421</v>
      </c>
      <c r="C293" s="5">
        <v>25528</v>
      </c>
      <c r="D293" s="5">
        <v>30931</v>
      </c>
      <c r="E293" s="5">
        <v>31985</v>
      </c>
    </row>
    <row r="294" spans="1:5" x14ac:dyDescent="0.25">
      <c r="A294" s="4" t="s">
        <v>78</v>
      </c>
      <c r="B294" s="5">
        <v>24429</v>
      </c>
      <c r="C294" s="5">
        <v>12907</v>
      </c>
      <c r="D294" s="5">
        <v>36913</v>
      </c>
      <c r="E294" s="5">
        <v>69438</v>
      </c>
    </row>
    <row r="295" spans="1:5" x14ac:dyDescent="0.25">
      <c r="A295" s="4" t="s">
        <v>79</v>
      </c>
      <c r="B295" s="5">
        <v>1809</v>
      </c>
      <c r="C295" s="5">
        <v>2367</v>
      </c>
      <c r="D295" s="5">
        <v>3182</v>
      </c>
      <c r="E295" s="5">
        <v>2406</v>
      </c>
    </row>
    <row r="296" spans="1:5" x14ac:dyDescent="0.25">
      <c r="A296" s="4" t="s">
        <v>261</v>
      </c>
      <c r="B296" s="5">
        <v>15535</v>
      </c>
      <c r="C296" s="5">
        <v>-15379</v>
      </c>
      <c r="D296" s="5">
        <v>3814</v>
      </c>
      <c r="E296" s="5">
        <v>2401</v>
      </c>
    </row>
    <row r="297" spans="1:5" x14ac:dyDescent="0.25">
      <c r="A297" s="4" t="s">
        <v>83</v>
      </c>
      <c r="B297" s="4" t="s">
        <v>18</v>
      </c>
      <c r="C297" s="5">
        <v>-1100</v>
      </c>
      <c r="D297" s="5">
        <v>0</v>
      </c>
      <c r="E297" s="5">
        <v>-920</v>
      </c>
    </row>
    <row r="298" spans="1:5" x14ac:dyDescent="0.25">
      <c r="A298" s="4" t="s">
        <v>84</v>
      </c>
      <c r="B298" s="5">
        <v>38155</v>
      </c>
      <c r="C298" s="5">
        <v>-5939</v>
      </c>
      <c r="D298" s="5">
        <v>37545</v>
      </c>
      <c r="E298" s="5">
        <v>68513</v>
      </c>
    </row>
    <row r="299" spans="1:5" x14ac:dyDescent="0.25">
      <c r="A299" s="4" t="s">
        <v>87</v>
      </c>
      <c r="B299" s="5">
        <v>4791</v>
      </c>
      <c r="C299" s="5">
        <v>-3217</v>
      </c>
      <c r="D299" s="5">
        <v>7120</v>
      </c>
      <c r="E299" s="5">
        <v>9265</v>
      </c>
    </row>
    <row r="300" spans="1:5" x14ac:dyDescent="0.25">
      <c r="A300" s="4" t="s">
        <v>96</v>
      </c>
      <c r="B300" s="5">
        <v>0</v>
      </c>
      <c r="C300" s="5">
        <v>0</v>
      </c>
      <c r="D300" s="5">
        <v>0</v>
      </c>
      <c r="E300" s="5">
        <v>0</v>
      </c>
    </row>
    <row r="301" spans="1:5" x14ac:dyDescent="0.25">
      <c r="A301" s="4" t="s">
        <v>262</v>
      </c>
      <c r="B301" s="5">
        <v>33364</v>
      </c>
      <c r="C301" s="5">
        <v>-2722</v>
      </c>
      <c r="D301" s="5">
        <v>30425</v>
      </c>
      <c r="E301" s="5">
        <v>59248</v>
      </c>
    </row>
    <row r="302" spans="1:5" x14ac:dyDescent="0.25">
      <c r="A302" s="4" t="s">
        <v>263</v>
      </c>
      <c r="B302" s="5">
        <v>0</v>
      </c>
      <c r="C302" s="5">
        <v>0</v>
      </c>
      <c r="D302" s="5">
        <v>0</v>
      </c>
      <c r="E302" s="5">
        <v>0</v>
      </c>
    </row>
    <row r="303" spans="1:5" x14ac:dyDescent="0.25">
      <c r="A303" s="4" t="s">
        <v>264</v>
      </c>
      <c r="B303" s="5">
        <v>0</v>
      </c>
      <c r="C303" s="5">
        <v>0</v>
      </c>
      <c r="D303" s="5">
        <v>0</v>
      </c>
      <c r="E303" s="5">
        <v>0</v>
      </c>
    </row>
    <row r="304" spans="1:5" x14ac:dyDescent="0.25">
      <c r="A304" s="4" t="s">
        <v>106</v>
      </c>
      <c r="B304" s="5">
        <v>33364</v>
      </c>
      <c r="C304" s="5">
        <v>-2722</v>
      </c>
      <c r="D304" s="5">
        <v>30425</v>
      </c>
      <c r="E304" s="5">
        <v>59248</v>
      </c>
    </row>
    <row r="305" spans="1:5" x14ac:dyDescent="0.25">
      <c r="A305" s="4" t="s">
        <v>265</v>
      </c>
      <c r="B305" s="5">
        <v>0</v>
      </c>
      <c r="C305" s="5">
        <v>0</v>
      </c>
      <c r="D305" s="5">
        <v>0</v>
      </c>
      <c r="E305" s="5">
        <v>0</v>
      </c>
    </row>
    <row r="306" spans="1:5" x14ac:dyDescent="0.25">
      <c r="A306" s="4" t="s">
        <v>266</v>
      </c>
      <c r="B306" s="5">
        <v>65.959999999999994</v>
      </c>
      <c r="C306" s="5">
        <v>-0.27</v>
      </c>
      <c r="D306" s="5">
        <v>2.95</v>
      </c>
      <c r="E306" s="5">
        <v>5.66</v>
      </c>
    </row>
    <row r="307" spans="1:5" x14ac:dyDescent="0.25">
      <c r="A307" s="4" t="s">
        <v>267</v>
      </c>
      <c r="B307" s="5">
        <v>65.959999999999994</v>
      </c>
      <c r="C307" s="5">
        <v>-0.27</v>
      </c>
      <c r="D307" s="5">
        <v>2.95</v>
      </c>
      <c r="E307" s="5">
        <v>5.66</v>
      </c>
    </row>
    <row r="308" spans="1:5" x14ac:dyDescent="0.25">
      <c r="A308" s="4" t="s">
        <v>268</v>
      </c>
      <c r="B308" s="5">
        <v>64.81</v>
      </c>
      <c r="C308" s="5">
        <v>-0.27</v>
      </c>
      <c r="D308" s="5">
        <v>2.9</v>
      </c>
      <c r="E308" s="5">
        <v>5.53</v>
      </c>
    </row>
    <row r="309" spans="1:5" x14ac:dyDescent="0.25">
      <c r="A309" s="4" t="s">
        <v>269</v>
      </c>
      <c r="B309" s="5">
        <v>64.81</v>
      </c>
      <c r="C309" s="5">
        <v>-0.27</v>
      </c>
      <c r="D309" s="5">
        <v>2.9</v>
      </c>
      <c r="E309" s="5">
        <v>5.53</v>
      </c>
    </row>
    <row r="310" spans="1:5" x14ac:dyDescent="0.25">
      <c r="A310" s="4" t="s">
        <v>270</v>
      </c>
      <c r="B310" s="5">
        <v>506</v>
      </c>
      <c r="C310" s="5">
        <v>10189</v>
      </c>
      <c r="D310" s="5">
        <v>10304</v>
      </c>
      <c r="E310" s="5">
        <v>10473</v>
      </c>
    </row>
    <row r="311" spans="1:5" x14ac:dyDescent="0.25">
      <c r="A311" s="1" t="s">
        <v>107</v>
      </c>
    </row>
    <row r="312" spans="1:5" x14ac:dyDescent="0.25">
      <c r="A312" s="4" t="s">
        <v>271</v>
      </c>
      <c r="B312" s="5">
        <v>515</v>
      </c>
      <c r="C312" s="5">
        <v>10189</v>
      </c>
      <c r="D312" s="5">
        <v>10492</v>
      </c>
      <c r="E312" s="5">
        <v>10721</v>
      </c>
    </row>
    <row r="313" spans="1:5" x14ac:dyDescent="0.25">
      <c r="A313" s="4" t="s">
        <v>272</v>
      </c>
      <c r="B313" s="5">
        <v>509</v>
      </c>
      <c r="C313" s="5">
        <v>10242</v>
      </c>
      <c r="D313" s="5">
        <v>10383</v>
      </c>
      <c r="E313" s="5">
        <v>10593</v>
      </c>
    </row>
    <row r="314" spans="1:5" x14ac:dyDescent="0.25">
      <c r="A314" s="4" t="s">
        <v>118</v>
      </c>
      <c r="B314" s="5">
        <v>46327</v>
      </c>
      <c r="C314" s="5">
        <v>46752</v>
      </c>
      <c r="D314" s="5">
        <v>84946</v>
      </c>
      <c r="E314" s="5">
        <v>115877</v>
      </c>
    </row>
    <row r="315" spans="1:5" x14ac:dyDescent="0.25">
      <c r="A315" s="4" t="s">
        <v>123</v>
      </c>
      <c r="B315" s="5">
        <v>61053</v>
      </c>
      <c r="C315" s="5">
        <v>63645</v>
      </c>
      <c r="D315" s="5">
        <v>52729</v>
      </c>
      <c r="E315" s="5">
        <v>82999</v>
      </c>
    </row>
    <row r="316" spans="1:5" x14ac:dyDescent="0.25">
      <c r="A316" s="4" t="s">
        <v>273</v>
      </c>
      <c r="B316" s="4" t="s">
        <v>18</v>
      </c>
      <c r="C316" s="4" t="s">
        <v>18</v>
      </c>
      <c r="D316" s="4" t="s">
        <v>18</v>
      </c>
      <c r="E316" s="4" t="s">
        <v>18</v>
      </c>
    </row>
    <row r="317" spans="1:5" x14ac:dyDescent="0.25">
      <c r="A317" s="4" t="s">
        <v>125</v>
      </c>
      <c r="B317" s="4" t="s">
        <v>18</v>
      </c>
      <c r="C317" s="5">
        <v>6100</v>
      </c>
      <c r="D317" s="4" t="s">
        <v>18</v>
      </c>
      <c r="E317" s="4" t="s">
        <v>18</v>
      </c>
    </row>
    <row r="318" spans="1:5" x14ac:dyDescent="0.25">
      <c r="A318" s="4" t="s">
        <v>274</v>
      </c>
      <c r="B318" s="5">
        <v>-58154</v>
      </c>
      <c r="C318" s="5">
        <v>-37601</v>
      </c>
      <c r="D318" s="5">
        <v>-49833</v>
      </c>
      <c r="E318" s="5">
        <v>-94342</v>
      </c>
    </row>
    <row r="319" spans="1:5" x14ac:dyDescent="0.25">
      <c r="A319" s="4" t="s">
        <v>131</v>
      </c>
      <c r="B319" s="5">
        <v>0</v>
      </c>
      <c r="C319" s="5">
        <v>0</v>
      </c>
      <c r="D319" s="5">
        <v>0</v>
      </c>
      <c r="E319" s="5">
        <v>0</v>
      </c>
    </row>
    <row r="320" spans="1:5" x14ac:dyDescent="0.25">
      <c r="A320" s="1" t="s">
        <v>275</v>
      </c>
    </row>
    <row r="321" spans="1:5" x14ac:dyDescent="0.25">
      <c r="A321" s="4" t="s">
        <v>276</v>
      </c>
      <c r="B321" s="5">
        <v>1772</v>
      </c>
      <c r="C321" s="5">
        <v>2142</v>
      </c>
      <c r="D321" s="5">
        <v>3112</v>
      </c>
      <c r="E321" s="5">
        <v>2364</v>
      </c>
    </row>
    <row r="322" spans="1:5" x14ac:dyDescent="0.25">
      <c r="A322" s="4" t="s">
        <v>141</v>
      </c>
      <c r="B322" s="5">
        <v>3688</v>
      </c>
      <c r="C322" s="5">
        <v>6035</v>
      </c>
      <c r="D322" s="5">
        <v>11179</v>
      </c>
      <c r="E322" s="5">
        <v>12308</v>
      </c>
    </row>
    <row r="323" spans="1:5" x14ac:dyDescent="0.25">
      <c r="A323" s="4" t="s">
        <v>277</v>
      </c>
      <c r="B323" s="4" t="s">
        <v>18</v>
      </c>
      <c r="C323" s="4" t="s">
        <v>18</v>
      </c>
      <c r="D323" s="4" t="s">
        <v>18</v>
      </c>
      <c r="E323" s="4" t="s">
        <v>18</v>
      </c>
    </row>
    <row r="324" spans="1:5" x14ac:dyDescent="0.25">
      <c r="A324" s="4" t="s">
        <v>278</v>
      </c>
      <c r="B324" s="4" t="s">
        <v>18</v>
      </c>
      <c r="C324" s="4" t="s">
        <v>18</v>
      </c>
      <c r="D324" s="4" t="s">
        <v>18</v>
      </c>
      <c r="E324" s="4" t="s">
        <v>18</v>
      </c>
    </row>
    <row r="325" spans="1:5" x14ac:dyDescent="0.25">
      <c r="A325" s="4" t="s">
        <v>279</v>
      </c>
      <c r="B325" s="4" t="s">
        <v>18</v>
      </c>
      <c r="C325" s="4" t="s">
        <v>18</v>
      </c>
      <c r="D325" s="4" t="s">
        <v>18</v>
      </c>
      <c r="E325" s="4" t="s">
        <v>18</v>
      </c>
    </row>
    <row r="326" spans="1:5" x14ac:dyDescent="0.25">
      <c r="A326" s="4" t="s">
        <v>145</v>
      </c>
      <c r="B326" s="5">
        <v>20</v>
      </c>
      <c r="C326" s="5">
        <v>1</v>
      </c>
      <c r="D326" s="5">
        <v>1</v>
      </c>
      <c r="E326" s="5">
        <v>1</v>
      </c>
    </row>
    <row r="327" spans="1:5" x14ac:dyDescent="0.25">
      <c r="A327" s="4" t="s">
        <v>146</v>
      </c>
      <c r="B327" s="5">
        <v>16900</v>
      </c>
      <c r="C327" s="5">
        <v>20600</v>
      </c>
      <c r="D327" s="5">
        <v>20300</v>
      </c>
      <c r="E327" s="5">
        <v>21400</v>
      </c>
    </row>
    <row r="328" spans="1:5" x14ac:dyDescent="0.25">
      <c r="A328" s="4" t="s">
        <v>160</v>
      </c>
      <c r="B328" s="5">
        <v>0</v>
      </c>
      <c r="C328" s="5">
        <v>0</v>
      </c>
      <c r="D328" s="5">
        <v>0</v>
      </c>
      <c r="E328" s="5">
        <v>0</v>
      </c>
    </row>
    <row r="329" spans="1:5" x14ac:dyDescent="0.25">
      <c r="A329" s="4" t="s">
        <v>161</v>
      </c>
      <c r="B329" s="5">
        <v>0</v>
      </c>
      <c r="C329" s="5">
        <v>0</v>
      </c>
      <c r="D329" s="5">
        <v>0</v>
      </c>
      <c r="E329" s="5">
        <v>0</v>
      </c>
    </row>
    <row r="330" spans="1:5" x14ac:dyDescent="0.25">
      <c r="A330" s="4" t="s">
        <v>162</v>
      </c>
      <c r="B330" s="5">
        <v>0</v>
      </c>
      <c r="C330" s="5">
        <v>0</v>
      </c>
      <c r="D330" s="5">
        <v>0</v>
      </c>
      <c r="E330" s="5">
        <v>0</v>
      </c>
    </row>
    <row r="331" spans="1:5" x14ac:dyDescent="0.25">
      <c r="A331" s="4" t="s">
        <v>175</v>
      </c>
      <c r="B331" s="5">
        <v>0</v>
      </c>
      <c r="C331" s="5">
        <v>0</v>
      </c>
      <c r="D331" s="5">
        <v>0</v>
      </c>
      <c r="E331" s="5">
        <v>0</v>
      </c>
    </row>
    <row r="332" spans="1:5" x14ac:dyDescent="0.25">
      <c r="A332" s="4" t="s">
        <v>176</v>
      </c>
      <c r="B332" s="5">
        <v>0</v>
      </c>
      <c r="C332" s="5">
        <v>0</v>
      </c>
      <c r="D332" s="5">
        <v>0</v>
      </c>
      <c r="E332" s="5">
        <v>0</v>
      </c>
    </row>
    <row r="333" spans="1:5" x14ac:dyDescent="0.25">
      <c r="A333" s="4" t="s">
        <v>178</v>
      </c>
      <c r="B333" s="5">
        <v>3334.34</v>
      </c>
      <c r="C333" s="5">
        <v>84</v>
      </c>
      <c r="D333" s="5">
        <v>151.94</v>
      </c>
      <c r="E333" s="5">
        <v>219.39</v>
      </c>
    </row>
    <row r="334" spans="1:5" x14ac:dyDescent="0.25">
      <c r="A334" s="4" t="s">
        <v>181</v>
      </c>
      <c r="B334" s="5">
        <v>3334.34</v>
      </c>
      <c r="C334" s="5">
        <v>84</v>
      </c>
      <c r="D334" s="5">
        <v>151.94</v>
      </c>
      <c r="E334" s="5">
        <v>219.39</v>
      </c>
    </row>
    <row r="335" spans="1:5" x14ac:dyDescent="0.25">
      <c r="A335" s="4" t="s">
        <v>182</v>
      </c>
      <c r="B335" s="5">
        <v>1100</v>
      </c>
      <c r="C335" s="5">
        <v>1400</v>
      </c>
      <c r="D335" s="5">
        <v>1700</v>
      </c>
      <c r="E335" s="5">
        <v>2000</v>
      </c>
    </row>
    <row r="336" spans="1:5" x14ac:dyDescent="0.25">
      <c r="A336" s="4" t="s">
        <v>188</v>
      </c>
      <c r="B336" s="5">
        <v>8755</v>
      </c>
      <c r="C336" s="5">
        <v>10669</v>
      </c>
      <c r="D336" s="5">
        <v>12715</v>
      </c>
      <c r="E336" s="5">
        <v>14426</v>
      </c>
    </row>
    <row r="337" spans="1:5" x14ac:dyDescent="0.25">
      <c r="A337" s="4" t="s">
        <v>190</v>
      </c>
      <c r="B337" s="5">
        <v>56052</v>
      </c>
      <c r="C337" s="5">
        <v>73213</v>
      </c>
      <c r="D337" s="5">
        <v>85622</v>
      </c>
      <c r="E337" s="5">
        <v>88544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632A8-4610-454A-A039-6796F6AB5C92}">
  <sheetPr>
    <outlinePr summaryBelow="0" summaryRight="0"/>
  </sheetPr>
  <dimension ref="A1:E337"/>
  <sheetViews>
    <sheetView workbookViewId="0">
      <pane ySplit="3" topLeftCell="A311" activePane="bottomLeft" state="frozen"/>
      <selection pane="bottomLeft" activeCell="E337" sqref="E337"/>
    </sheetView>
  </sheetViews>
  <sheetFormatPr defaultRowHeight="13.2" x14ac:dyDescent="0.25"/>
  <cols>
    <col min="1" max="1" width="59.33203125" style="2" customWidth="1"/>
    <col min="2" max="5" width="21.88671875" style="2" customWidth="1"/>
    <col min="6" max="256" width="8.88671875" style="2"/>
    <col min="257" max="257" width="59.33203125" style="2" customWidth="1"/>
    <col min="258" max="261" width="21.88671875" style="2" customWidth="1"/>
    <col min="262" max="512" width="8.88671875" style="2"/>
    <col min="513" max="513" width="59.33203125" style="2" customWidth="1"/>
    <col min="514" max="517" width="21.88671875" style="2" customWidth="1"/>
    <col min="518" max="768" width="8.88671875" style="2"/>
    <col min="769" max="769" width="59.33203125" style="2" customWidth="1"/>
    <col min="770" max="773" width="21.88671875" style="2" customWidth="1"/>
    <col min="774" max="1024" width="8.88671875" style="2"/>
    <col min="1025" max="1025" width="59.33203125" style="2" customWidth="1"/>
    <col min="1026" max="1029" width="21.88671875" style="2" customWidth="1"/>
    <col min="1030" max="1280" width="8.88671875" style="2"/>
    <col min="1281" max="1281" width="59.33203125" style="2" customWidth="1"/>
    <col min="1282" max="1285" width="21.88671875" style="2" customWidth="1"/>
    <col min="1286" max="1536" width="8.88671875" style="2"/>
    <col min="1537" max="1537" width="59.33203125" style="2" customWidth="1"/>
    <col min="1538" max="1541" width="21.88671875" style="2" customWidth="1"/>
    <col min="1542" max="1792" width="8.88671875" style="2"/>
    <col min="1793" max="1793" width="59.33203125" style="2" customWidth="1"/>
    <col min="1794" max="1797" width="21.88671875" style="2" customWidth="1"/>
    <col min="1798" max="2048" width="8.88671875" style="2"/>
    <col min="2049" max="2049" width="59.33203125" style="2" customWidth="1"/>
    <col min="2050" max="2053" width="21.88671875" style="2" customWidth="1"/>
    <col min="2054" max="2304" width="8.88671875" style="2"/>
    <col min="2305" max="2305" width="59.33203125" style="2" customWidth="1"/>
    <col min="2306" max="2309" width="21.88671875" style="2" customWidth="1"/>
    <col min="2310" max="2560" width="8.88671875" style="2"/>
    <col min="2561" max="2561" width="59.33203125" style="2" customWidth="1"/>
    <col min="2562" max="2565" width="21.88671875" style="2" customWidth="1"/>
    <col min="2566" max="2816" width="8.88671875" style="2"/>
    <col min="2817" max="2817" width="59.33203125" style="2" customWidth="1"/>
    <col min="2818" max="2821" width="21.88671875" style="2" customWidth="1"/>
    <col min="2822" max="3072" width="8.88671875" style="2"/>
    <col min="3073" max="3073" width="59.33203125" style="2" customWidth="1"/>
    <col min="3074" max="3077" width="21.88671875" style="2" customWidth="1"/>
    <col min="3078" max="3328" width="8.88671875" style="2"/>
    <col min="3329" max="3329" width="59.33203125" style="2" customWidth="1"/>
    <col min="3330" max="3333" width="21.88671875" style="2" customWidth="1"/>
    <col min="3334" max="3584" width="8.88671875" style="2"/>
    <col min="3585" max="3585" width="59.33203125" style="2" customWidth="1"/>
    <col min="3586" max="3589" width="21.88671875" style="2" customWidth="1"/>
    <col min="3590" max="3840" width="8.88671875" style="2"/>
    <col min="3841" max="3841" width="59.33203125" style="2" customWidth="1"/>
    <col min="3842" max="3845" width="21.88671875" style="2" customWidth="1"/>
    <col min="3846" max="4096" width="8.88671875" style="2"/>
    <col min="4097" max="4097" width="59.33203125" style="2" customWidth="1"/>
    <col min="4098" max="4101" width="21.88671875" style="2" customWidth="1"/>
    <col min="4102" max="4352" width="8.88671875" style="2"/>
    <col min="4353" max="4353" width="59.33203125" style="2" customWidth="1"/>
    <col min="4354" max="4357" width="21.88671875" style="2" customWidth="1"/>
    <col min="4358" max="4608" width="8.88671875" style="2"/>
    <col min="4609" max="4609" width="59.33203125" style="2" customWidth="1"/>
    <col min="4610" max="4613" width="21.88671875" style="2" customWidth="1"/>
    <col min="4614" max="4864" width="8.88671875" style="2"/>
    <col min="4865" max="4865" width="59.33203125" style="2" customWidth="1"/>
    <col min="4866" max="4869" width="21.88671875" style="2" customWidth="1"/>
    <col min="4870" max="5120" width="8.88671875" style="2"/>
    <col min="5121" max="5121" width="59.33203125" style="2" customWidth="1"/>
    <col min="5122" max="5125" width="21.88671875" style="2" customWidth="1"/>
    <col min="5126" max="5376" width="8.88671875" style="2"/>
    <col min="5377" max="5377" width="59.33203125" style="2" customWidth="1"/>
    <col min="5378" max="5381" width="21.88671875" style="2" customWidth="1"/>
    <col min="5382" max="5632" width="8.88671875" style="2"/>
    <col min="5633" max="5633" width="59.33203125" style="2" customWidth="1"/>
    <col min="5634" max="5637" width="21.88671875" style="2" customWidth="1"/>
    <col min="5638" max="5888" width="8.88671875" style="2"/>
    <col min="5889" max="5889" width="59.33203125" style="2" customWidth="1"/>
    <col min="5890" max="5893" width="21.88671875" style="2" customWidth="1"/>
    <col min="5894" max="6144" width="8.88671875" style="2"/>
    <col min="6145" max="6145" width="59.33203125" style="2" customWidth="1"/>
    <col min="6146" max="6149" width="21.88671875" style="2" customWidth="1"/>
    <col min="6150" max="6400" width="8.88671875" style="2"/>
    <col min="6401" max="6401" width="59.33203125" style="2" customWidth="1"/>
    <col min="6402" max="6405" width="21.88671875" style="2" customWidth="1"/>
    <col min="6406" max="6656" width="8.88671875" style="2"/>
    <col min="6657" max="6657" width="59.33203125" style="2" customWidth="1"/>
    <col min="6658" max="6661" width="21.88671875" style="2" customWidth="1"/>
    <col min="6662" max="6912" width="8.88671875" style="2"/>
    <col min="6913" max="6913" width="59.33203125" style="2" customWidth="1"/>
    <col min="6914" max="6917" width="21.88671875" style="2" customWidth="1"/>
    <col min="6918" max="7168" width="8.88671875" style="2"/>
    <col min="7169" max="7169" width="59.33203125" style="2" customWidth="1"/>
    <col min="7170" max="7173" width="21.88671875" style="2" customWidth="1"/>
    <col min="7174" max="7424" width="8.88671875" style="2"/>
    <col min="7425" max="7425" width="59.33203125" style="2" customWidth="1"/>
    <col min="7426" max="7429" width="21.88671875" style="2" customWidth="1"/>
    <col min="7430" max="7680" width="8.88671875" style="2"/>
    <col min="7681" max="7681" width="59.33203125" style="2" customWidth="1"/>
    <col min="7682" max="7685" width="21.88671875" style="2" customWidth="1"/>
    <col min="7686" max="7936" width="8.88671875" style="2"/>
    <col min="7937" max="7937" width="59.33203125" style="2" customWidth="1"/>
    <col min="7938" max="7941" width="21.88671875" style="2" customWidth="1"/>
    <col min="7942" max="8192" width="8.88671875" style="2"/>
    <col min="8193" max="8193" width="59.33203125" style="2" customWidth="1"/>
    <col min="8194" max="8197" width="21.88671875" style="2" customWidth="1"/>
    <col min="8198" max="8448" width="8.88671875" style="2"/>
    <col min="8449" max="8449" width="59.33203125" style="2" customWidth="1"/>
    <col min="8450" max="8453" width="21.88671875" style="2" customWidth="1"/>
    <col min="8454" max="8704" width="8.88671875" style="2"/>
    <col min="8705" max="8705" width="59.33203125" style="2" customWidth="1"/>
    <col min="8706" max="8709" width="21.88671875" style="2" customWidth="1"/>
    <col min="8710" max="8960" width="8.88671875" style="2"/>
    <col min="8961" max="8961" width="59.33203125" style="2" customWidth="1"/>
    <col min="8962" max="8965" width="21.88671875" style="2" customWidth="1"/>
    <col min="8966" max="9216" width="8.88671875" style="2"/>
    <col min="9217" max="9217" width="59.33203125" style="2" customWidth="1"/>
    <col min="9218" max="9221" width="21.88671875" style="2" customWidth="1"/>
    <col min="9222" max="9472" width="8.88671875" style="2"/>
    <col min="9473" max="9473" width="59.33203125" style="2" customWidth="1"/>
    <col min="9474" max="9477" width="21.88671875" style="2" customWidth="1"/>
    <col min="9478" max="9728" width="8.88671875" style="2"/>
    <col min="9729" max="9729" width="59.33203125" style="2" customWidth="1"/>
    <col min="9730" max="9733" width="21.88671875" style="2" customWidth="1"/>
    <col min="9734" max="9984" width="8.88671875" style="2"/>
    <col min="9985" max="9985" width="59.33203125" style="2" customWidth="1"/>
    <col min="9986" max="9989" width="21.88671875" style="2" customWidth="1"/>
    <col min="9990" max="10240" width="8.88671875" style="2"/>
    <col min="10241" max="10241" width="59.33203125" style="2" customWidth="1"/>
    <col min="10242" max="10245" width="21.88671875" style="2" customWidth="1"/>
    <col min="10246" max="10496" width="8.88671875" style="2"/>
    <col min="10497" max="10497" width="59.33203125" style="2" customWidth="1"/>
    <col min="10498" max="10501" width="21.88671875" style="2" customWidth="1"/>
    <col min="10502" max="10752" width="8.88671875" style="2"/>
    <col min="10753" max="10753" width="59.33203125" style="2" customWidth="1"/>
    <col min="10754" max="10757" width="21.88671875" style="2" customWidth="1"/>
    <col min="10758" max="11008" width="8.88671875" style="2"/>
    <col min="11009" max="11009" width="59.33203125" style="2" customWidth="1"/>
    <col min="11010" max="11013" width="21.88671875" style="2" customWidth="1"/>
    <col min="11014" max="11264" width="8.88671875" style="2"/>
    <col min="11265" max="11265" width="59.33203125" style="2" customWidth="1"/>
    <col min="11266" max="11269" width="21.88671875" style="2" customWidth="1"/>
    <col min="11270" max="11520" width="8.88671875" style="2"/>
    <col min="11521" max="11521" width="59.33203125" style="2" customWidth="1"/>
    <col min="11522" max="11525" width="21.88671875" style="2" customWidth="1"/>
    <col min="11526" max="11776" width="8.88671875" style="2"/>
    <col min="11777" max="11777" width="59.33203125" style="2" customWidth="1"/>
    <col min="11778" max="11781" width="21.88671875" style="2" customWidth="1"/>
    <col min="11782" max="12032" width="8.88671875" style="2"/>
    <col min="12033" max="12033" width="59.33203125" style="2" customWidth="1"/>
    <col min="12034" max="12037" width="21.88671875" style="2" customWidth="1"/>
    <col min="12038" max="12288" width="8.88671875" style="2"/>
    <col min="12289" max="12289" width="59.33203125" style="2" customWidth="1"/>
    <col min="12290" max="12293" width="21.88671875" style="2" customWidth="1"/>
    <col min="12294" max="12544" width="8.88671875" style="2"/>
    <col min="12545" max="12545" width="59.33203125" style="2" customWidth="1"/>
    <col min="12546" max="12549" width="21.88671875" style="2" customWidth="1"/>
    <col min="12550" max="12800" width="8.88671875" style="2"/>
    <col min="12801" max="12801" width="59.33203125" style="2" customWidth="1"/>
    <col min="12802" max="12805" width="21.88671875" style="2" customWidth="1"/>
    <col min="12806" max="13056" width="8.88671875" style="2"/>
    <col min="13057" max="13057" width="59.33203125" style="2" customWidth="1"/>
    <col min="13058" max="13061" width="21.88671875" style="2" customWidth="1"/>
    <col min="13062" max="13312" width="8.88671875" style="2"/>
    <col min="13313" max="13313" width="59.33203125" style="2" customWidth="1"/>
    <col min="13314" max="13317" width="21.88671875" style="2" customWidth="1"/>
    <col min="13318" max="13568" width="8.88671875" style="2"/>
    <col min="13569" max="13569" width="59.33203125" style="2" customWidth="1"/>
    <col min="13570" max="13573" width="21.88671875" style="2" customWidth="1"/>
    <col min="13574" max="13824" width="8.88671875" style="2"/>
    <col min="13825" max="13825" width="59.33203125" style="2" customWidth="1"/>
    <col min="13826" max="13829" width="21.88671875" style="2" customWidth="1"/>
    <col min="13830" max="14080" width="8.88671875" style="2"/>
    <col min="14081" max="14081" width="59.33203125" style="2" customWidth="1"/>
    <col min="14082" max="14085" width="21.88671875" style="2" customWidth="1"/>
    <col min="14086" max="14336" width="8.88671875" style="2"/>
    <col min="14337" max="14337" width="59.33203125" style="2" customWidth="1"/>
    <col min="14338" max="14341" width="21.88671875" style="2" customWidth="1"/>
    <col min="14342" max="14592" width="8.88671875" style="2"/>
    <col min="14593" max="14593" width="59.33203125" style="2" customWidth="1"/>
    <col min="14594" max="14597" width="21.88671875" style="2" customWidth="1"/>
    <col min="14598" max="14848" width="8.88671875" style="2"/>
    <col min="14849" max="14849" width="59.33203125" style="2" customWidth="1"/>
    <col min="14850" max="14853" width="21.88671875" style="2" customWidth="1"/>
    <col min="14854" max="15104" width="8.88671875" style="2"/>
    <col min="15105" max="15105" width="59.33203125" style="2" customWidth="1"/>
    <col min="15106" max="15109" width="21.88671875" style="2" customWidth="1"/>
    <col min="15110" max="15360" width="8.88671875" style="2"/>
    <col min="15361" max="15361" width="59.33203125" style="2" customWidth="1"/>
    <col min="15362" max="15365" width="21.88671875" style="2" customWidth="1"/>
    <col min="15366" max="15616" width="8.88671875" style="2"/>
    <col min="15617" max="15617" width="59.33203125" style="2" customWidth="1"/>
    <col min="15618" max="15621" width="21.88671875" style="2" customWidth="1"/>
    <col min="15622" max="15872" width="8.88671875" style="2"/>
    <col min="15873" max="15873" width="59.33203125" style="2" customWidth="1"/>
    <col min="15874" max="15877" width="21.88671875" style="2" customWidth="1"/>
    <col min="15878" max="16128" width="8.88671875" style="2"/>
    <col min="16129" max="16129" width="59.33203125" style="2" customWidth="1"/>
    <col min="16130" max="16133" width="21.88671875" style="2" customWidth="1"/>
    <col min="16134" max="16384" width="8.88671875" style="2"/>
  </cols>
  <sheetData>
    <row r="1" spans="1:5" x14ac:dyDescent="0.25">
      <c r="A1" s="1" t="s">
        <v>280</v>
      </c>
    </row>
    <row r="2" spans="1:5" x14ac:dyDescent="0.25">
      <c r="A2" s="1" t="s">
        <v>1</v>
      </c>
    </row>
    <row r="3" spans="1:5" x14ac:dyDescent="0.25">
      <c r="A3" s="1"/>
      <c r="B3" s="1">
        <v>2021</v>
      </c>
      <c r="C3" s="1">
        <v>2022</v>
      </c>
      <c r="D3" s="1">
        <v>2023</v>
      </c>
      <c r="E3" s="1">
        <v>2024</v>
      </c>
    </row>
    <row r="4" spans="1:5" x14ac:dyDescent="0.25">
      <c r="A4" s="1"/>
    </row>
    <row r="5" spans="1:5" x14ac:dyDescent="0.25">
      <c r="A5" s="3" t="s">
        <v>2</v>
      </c>
    </row>
    <row r="6" spans="1:5" x14ac:dyDescent="0.25">
      <c r="A6" s="1" t="s">
        <v>3</v>
      </c>
    </row>
    <row r="7" spans="1:5" x14ac:dyDescent="0.25">
      <c r="A7" s="4" t="s">
        <v>4</v>
      </c>
      <c r="B7" s="5">
        <v>14760</v>
      </c>
      <c r="C7" s="5">
        <v>8625</v>
      </c>
      <c r="D7" s="5">
        <v>9867</v>
      </c>
      <c r="E7" s="5">
        <v>9037</v>
      </c>
    </row>
    <row r="8" spans="1:5" x14ac:dyDescent="0.25">
      <c r="A8" s="4" t="s">
        <v>5</v>
      </c>
      <c r="B8" s="4" t="s">
        <v>18</v>
      </c>
      <c r="C8" s="4" t="s">
        <v>18</v>
      </c>
      <c r="D8" s="4" t="s">
        <v>18</v>
      </c>
      <c r="E8" s="4" t="s">
        <v>18</v>
      </c>
    </row>
    <row r="9" spans="1:5" x14ac:dyDescent="0.25">
      <c r="A9" s="4" t="s">
        <v>6</v>
      </c>
      <c r="B9" s="4" t="s">
        <v>18</v>
      </c>
      <c r="C9" s="4" t="s">
        <v>18</v>
      </c>
      <c r="D9" s="4" t="s">
        <v>18</v>
      </c>
      <c r="E9" s="4" t="s">
        <v>18</v>
      </c>
    </row>
    <row r="10" spans="1:5" x14ac:dyDescent="0.25">
      <c r="A10" s="4" t="s">
        <v>7</v>
      </c>
      <c r="B10" s="5">
        <v>8280</v>
      </c>
      <c r="C10" s="5">
        <v>7933</v>
      </c>
      <c r="D10" s="5">
        <v>8796</v>
      </c>
      <c r="E10" s="5">
        <v>9975</v>
      </c>
    </row>
    <row r="11" spans="1:5" x14ac:dyDescent="0.25">
      <c r="A11" s="4" t="s">
        <v>8</v>
      </c>
      <c r="B11" s="5">
        <v>8280</v>
      </c>
      <c r="C11" s="5">
        <v>7933</v>
      </c>
      <c r="D11" s="5">
        <v>8796</v>
      </c>
      <c r="E11" s="5">
        <v>9975</v>
      </c>
    </row>
    <row r="12" spans="1:5" x14ac:dyDescent="0.25">
      <c r="A12" s="4" t="s">
        <v>9</v>
      </c>
      <c r="B12" s="5">
        <v>0</v>
      </c>
      <c r="C12" s="5">
        <v>0</v>
      </c>
      <c r="D12" s="5">
        <v>0</v>
      </c>
      <c r="E12" s="5">
        <v>0</v>
      </c>
    </row>
    <row r="13" spans="1:5" x14ac:dyDescent="0.25">
      <c r="A13" s="4" t="s">
        <v>10</v>
      </c>
      <c r="B13" s="5">
        <v>0</v>
      </c>
      <c r="C13" s="5">
        <v>0</v>
      </c>
      <c r="D13" s="5">
        <v>0</v>
      </c>
      <c r="E13" s="5">
        <v>0</v>
      </c>
    </row>
    <row r="14" spans="1:5" x14ac:dyDescent="0.25">
      <c r="A14" s="4" t="s">
        <v>11</v>
      </c>
      <c r="B14" s="5">
        <v>56511</v>
      </c>
      <c r="C14" s="5">
        <v>56576</v>
      </c>
      <c r="D14" s="5">
        <v>54892</v>
      </c>
      <c r="E14" s="5">
        <v>56435</v>
      </c>
    </row>
    <row r="15" spans="1:5" x14ac:dyDescent="0.25">
      <c r="A15" s="4" t="s">
        <v>12</v>
      </c>
      <c r="B15" s="4" t="s">
        <v>18</v>
      </c>
      <c r="C15" s="4" t="s">
        <v>18</v>
      </c>
      <c r="D15" s="4" t="s">
        <v>18</v>
      </c>
      <c r="E15" s="4" t="s">
        <v>18</v>
      </c>
    </row>
    <row r="16" spans="1:5" x14ac:dyDescent="0.25">
      <c r="A16" s="4" t="s">
        <v>13</v>
      </c>
      <c r="B16" s="4" t="s">
        <v>18</v>
      </c>
      <c r="C16" s="4" t="s">
        <v>18</v>
      </c>
      <c r="D16" s="4" t="s">
        <v>18</v>
      </c>
      <c r="E16" s="4" t="s">
        <v>18</v>
      </c>
    </row>
    <row r="17" spans="1:5" x14ac:dyDescent="0.25">
      <c r="A17" s="4" t="s">
        <v>14</v>
      </c>
      <c r="B17" s="4" t="s">
        <v>18</v>
      </c>
      <c r="C17" s="4" t="s">
        <v>18</v>
      </c>
      <c r="D17" s="4" t="s">
        <v>18</v>
      </c>
      <c r="E17" s="4" t="s">
        <v>18</v>
      </c>
    </row>
    <row r="18" spans="1:5" x14ac:dyDescent="0.25">
      <c r="A18" s="4" t="s">
        <v>15</v>
      </c>
      <c r="B18" s="4" t="s">
        <v>18</v>
      </c>
      <c r="C18" s="4" t="s">
        <v>18</v>
      </c>
      <c r="D18" s="4" t="s">
        <v>18</v>
      </c>
      <c r="E18" s="4" t="s">
        <v>18</v>
      </c>
    </row>
    <row r="19" spans="1:5" x14ac:dyDescent="0.25">
      <c r="A19" s="4" t="s">
        <v>16</v>
      </c>
      <c r="B19" s="5">
        <v>1519</v>
      </c>
      <c r="C19" s="5">
        <v>2521</v>
      </c>
      <c r="D19" s="5">
        <v>3322</v>
      </c>
      <c r="E19" s="5">
        <v>4011</v>
      </c>
    </row>
    <row r="20" spans="1:5" x14ac:dyDescent="0.25">
      <c r="A20" s="4" t="s">
        <v>17</v>
      </c>
      <c r="B20" s="4" t="s">
        <v>18</v>
      </c>
      <c r="C20" s="4" t="s">
        <v>18</v>
      </c>
      <c r="D20" s="4" t="s">
        <v>18</v>
      </c>
      <c r="E20" s="4" t="s">
        <v>18</v>
      </c>
    </row>
    <row r="21" spans="1:5" x14ac:dyDescent="0.25">
      <c r="A21" s="4" t="s">
        <v>19</v>
      </c>
      <c r="B21" s="5">
        <v>1519</v>
      </c>
      <c r="C21" s="5">
        <v>2521</v>
      </c>
      <c r="D21" s="5">
        <v>3322</v>
      </c>
      <c r="E21" s="5">
        <v>4011</v>
      </c>
    </row>
    <row r="22" spans="1:5" x14ac:dyDescent="0.25">
      <c r="A22" s="4" t="s">
        <v>20</v>
      </c>
      <c r="B22" s="5">
        <v>81070</v>
      </c>
      <c r="C22" s="5">
        <v>75655</v>
      </c>
      <c r="D22" s="5">
        <v>76877</v>
      </c>
      <c r="E22" s="5">
        <v>79458</v>
      </c>
    </row>
    <row r="23" spans="1:5" x14ac:dyDescent="0.25">
      <c r="A23" s="4" t="s">
        <v>21</v>
      </c>
      <c r="B23" s="5">
        <v>112624</v>
      </c>
      <c r="C23" s="5">
        <v>119234</v>
      </c>
      <c r="D23" s="5">
        <v>130338</v>
      </c>
      <c r="E23" s="5">
        <v>139704</v>
      </c>
    </row>
    <row r="24" spans="1:5" x14ac:dyDescent="0.25">
      <c r="A24" s="4" t="s">
        <v>22</v>
      </c>
      <c r="B24" s="5">
        <v>207433</v>
      </c>
      <c r="C24" s="5">
        <v>220844</v>
      </c>
      <c r="D24" s="5">
        <v>239387</v>
      </c>
      <c r="E24" s="5">
        <v>251328</v>
      </c>
    </row>
    <row r="25" spans="1:5" x14ac:dyDescent="0.25">
      <c r="A25" s="4" t="s">
        <v>23</v>
      </c>
      <c r="B25" s="5">
        <v>94809</v>
      </c>
      <c r="C25" s="5">
        <v>101610</v>
      </c>
      <c r="D25" s="5">
        <v>109049</v>
      </c>
      <c r="E25" s="5">
        <v>111624</v>
      </c>
    </row>
    <row r="26" spans="1:5" x14ac:dyDescent="0.25">
      <c r="A26" s="4" t="s">
        <v>24</v>
      </c>
      <c r="B26" s="4" t="s">
        <v>18</v>
      </c>
      <c r="C26" s="4" t="s">
        <v>18</v>
      </c>
      <c r="D26" s="4" t="s">
        <v>18</v>
      </c>
      <c r="E26" s="4" t="s">
        <v>18</v>
      </c>
    </row>
    <row r="27" spans="1:5" x14ac:dyDescent="0.25">
      <c r="A27" s="4" t="s">
        <v>25</v>
      </c>
      <c r="B27" s="5">
        <v>12888</v>
      </c>
      <c r="C27" s="5">
        <v>11169</v>
      </c>
      <c r="D27" s="5">
        <v>8449</v>
      </c>
      <c r="E27" s="5">
        <v>4241</v>
      </c>
    </row>
    <row r="28" spans="1:5" x14ac:dyDescent="0.25">
      <c r="A28" s="4" t="s">
        <v>26</v>
      </c>
      <c r="B28" s="5">
        <v>33814</v>
      </c>
      <c r="C28" s="5">
        <v>32474</v>
      </c>
      <c r="D28" s="5">
        <v>32213</v>
      </c>
      <c r="E28" s="5">
        <v>33292</v>
      </c>
    </row>
    <row r="29" spans="1:5" x14ac:dyDescent="0.25">
      <c r="A29" s="4" t="s">
        <v>27</v>
      </c>
      <c r="B29" s="5">
        <v>4464</v>
      </c>
      <c r="C29" s="5">
        <v>4665</v>
      </c>
      <c r="D29" s="5">
        <v>4522</v>
      </c>
      <c r="E29" s="5">
        <v>4128</v>
      </c>
    </row>
    <row r="30" spans="1:5" x14ac:dyDescent="0.25">
      <c r="A30" s="4" t="s">
        <v>28</v>
      </c>
      <c r="B30" s="4" t="s">
        <v>18</v>
      </c>
      <c r="C30" s="4" t="s">
        <v>18</v>
      </c>
      <c r="D30" s="4" t="s">
        <v>18</v>
      </c>
      <c r="E30" s="4" t="s">
        <v>18</v>
      </c>
    </row>
    <row r="31" spans="1:5" x14ac:dyDescent="0.25">
      <c r="A31" s="4" t="s">
        <v>29</v>
      </c>
      <c r="B31" s="5">
        <v>4464</v>
      </c>
      <c r="C31" s="5">
        <v>4665</v>
      </c>
      <c r="D31" s="5">
        <v>4522</v>
      </c>
      <c r="E31" s="5">
        <v>4128</v>
      </c>
    </row>
    <row r="32" spans="1:5" x14ac:dyDescent="0.25">
      <c r="A32" s="4" t="s">
        <v>30</v>
      </c>
      <c r="B32" s="5">
        <v>244860</v>
      </c>
      <c r="C32" s="5">
        <v>243197</v>
      </c>
      <c r="D32" s="5">
        <v>252399</v>
      </c>
      <c r="E32" s="5">
        <v>260823</v>
      </c>
    </row>
    <row r="33" spans="1:5" x14ac:dyDescent="0.25">
      <c r="A33" s="1" t="s">
        <v>31</v>
      </c>
    </row>
    <row r="34" spans="1:5" x14ac:dyDescent="0.25">
      <c r="A34" s="4" t="s">
        <v>32</v>
      </c>
      <c r="B34" s="5">
        <v>5207</v>
      </c>
      <c r="C34" s="5">
        <v>6603</v>
      </c>
      <c r="D34" s="5">
        <v>6537</v>
      </c>
      <c r="E34" s="5">
        <v>7965</v>
      </c>
    </row>
    <row r="35" spans="1:5" x14ac:dyDescent="0.25">
      <c r="A35" s="4" t="s">
        <v>33</v>
      </c>
      <c r="B35" s="5">
        <v>410</v>
      </c>
      <c r="C35" s="5">
        <v>372</v>
      </c>
      <c r="D35" s="5">
        <v>878</v>
      </c>
      <c r="E35" s="5">
        <v>3068</v>
      </c>
    </row>
    <row r="36" spans="1:5" x14ac:dyDescent="0.25">
      <c r="A36" s="4" t="s">
        <v>34</v>
      </c>
      <c r="B36" s="5">
        <v>4797</v>
      </c>
      <c r="C36" s="5">
        <v>6231</v>
      </c>
      <c r="D36" s="5">
        <v>5659</v>
      </c>
      <c r="E36" s="5">
        <v>4897</v>
      </c>
    </row>
    <row r="37" spans="1:5" x14ac:dyDescent="0.25">
      <c r="A37" s="4" t="s">
        <v>35</v>
      </c>
      <c r="B37" s="5">
        <v>55261</v>
      </c>
      <c r="C37" s="5">
        <v>53742</v>
      </c>
      <c r="D37" s="5">
        <v>56812</v>
      </c>
      <c r="E37" s="5">
        <v>58666</v>
      </c>
    </row>
    <row r="38" spans="1:5" x14ac:dyDescent="0.25">
      <c r="A38" s="4" t="s">
        <v>36</v>
      </c>
      <c r="B38" s="5">
        <v>851</v>
      </c>
      <c r="C38" s="5">
        <v>727</v>
      </c>
      <c r="D38" s="5">
        <v>307</v>
      </c>
      <c r="E38" s="5">
        <v>608</v>
      </c>
    </row>
    <row r="39" spans="1:5" x14ac:dyDescent="0.25">
      <c r="A39" s="4" t="s">
        <v>37</v>
      </c>
      <c r="B39" s="5">
        <v>26060</v>
      </c>
      <c r="C39" s="5">
        <v>31126</v>
      </c>
      <c r="D39" s="5">
        <v>28759</v>
      </c>
      <c r="E39" s="5">
        <v>29345</v>
      </c>
    </row>
    <row r="40" spans="1:5" x14ac:dyDescent="0.25">
      <c r="A40" s="4" t="s">
        <v>38</v>
      </c>
      <c r="B40" s="5">
        <v>23480</v>
      </c>
      <c r="C40" s="5">
        <v>25689</v>
      </c>
      <c r="D40" s="5">
        <v>26095</v>
      </c>
      <c r="E40" s="5">
        <v>26590</v>
      </c>
    </row>
    <row r="41" spans="1:5" x14ac:dyDescent="0.25">
      <c r="A41" s="4" t="s">
        <v>39</v>
      </c>
      <c r="B41" s="5">
        <v>2580</v>
      </c>
      <c r="C41" s="5">
        <v>5437</v>
      </c>
      <c r="D41" s="5">
        <v>2664</v>
      </c>
      <c r="E41" s="5">
        <v>2755</v>
      </c>
    </row>
    <row r="42" spans="1:5" x14ac:dyDescent="0.25">
      <c r="A42" s="4" t="s">
        <v>40</v>
      </c>
      <c r="B42" s="5">
        <v>87379</v>
      </c>
      <c r="C42" s="5">
        <v>92198</v>
      </c>
      <c r="D42" s="5">
        <v>92415</v>
      </c>
      <c r="E42" s="5">
        <v>96584</v>
      </c>
    </row>
    <row r="43" spans="1:5" x14ac:dyDescent="0.25">
      <c r="A43" s="4" t="s">
        <v>41</v>
      </c>
      <c r="B43" s="5">
        <v>52116</v>
      </c>
      <c r="C43" s="5">
        <v>52320</v>
      </c>
      <c r="D43" s="5">
        <v>54784</v>
      </c>
      <c r="E43" s="5">
        <v>52149</v>
      </c>
    </row>
    <row r="44" spans="1:5" x14ac:dyDescent="0.25">
      <c r="A44" s="4" t="s">
        <v>42</v>
      </c>
      <c r="B44" s="5">
        <v>0</v>
      </c>
      <c r="C44" s="5">
        <v>0</v>
      </c>
      <c r="D44" s="5">
        <v>0</v>
      </c>
      <c r="E44" s="5">
        <v>0</v>
      </c>
    </row>
    <row r="45" spans="1:5" x14ac:dyDescent="0.25">
      <c r="A45" s="4" t="s">
        <v>43</v>
      </c>
      <c r="B45" s="5">
        <v>0</v>
      </c>
      <c r="C45" s="5">
        <v>0</v>
      </c>
      <c r="D45" s="5">
        <v>0</v>
      </c>
      <c r="E45" s="5">
        <v>0</v>
      </c>
    </row>
    <row r="46" spans="1:5" x14ac:dyDescent="0.25">
      <c r="A46" s="4" t="s">
        <v>44</v>
      </c>
      <c r="B46" s="5">
        <v>0</v>
      </c>
      <c r="C46" s="5">
        <v>0</v>
      </c>
      <c r="D46" s="5">
        <v>0</v>
      </c>
      <c r="E46" s="5">
        <v>0</v>
      </c>
    </row>
    <row r="47" spans="1:5" x14ac:dyDescent="0.25">
      <c r="A47" s="4" t="s">
        <v>45</v>
      </c>
      <c r="B47" s="5">
        <v>0</v>
      </c>
      <c r="C47" s="5">
        <v>0</v>
      </c>
      <c r="D47" s="5">
        <v>0</v>
      </c>
      <c r="E47" s="5">
        <v>0</v>
      </c>
    </row>
    <row r="48" spans="1:5" x14ac:dyDescent="0.25">
      <c r="A48" s="4" t="s">
        <v>46</v>
      </c>
      <c r="B48" s="5">
        <v>34864</v>
      </c>
      <c r="C48" s="5">
        <v>34649</v>
      </c>
      <c r="D48" s="5">
        <v>36132</v>
      </c>
      <c r="E48" s="5">
        <v>33401</v>
      </c>
    </row>
    <row r="49" spans="1:5" x14ac:dyDescent="0.25">
      <c r="A49" s="4" t="s">
        <v>47</v>
      </c>
      <c r="B49" s="5">
        <v>0</v>
      </c>
      <c r="C49" s="5">
        <v>0</v>
      </c>
      <c r="D49" s="5">
        <v>0</v>
      </c>
      <c r="E49" s="5">
        <v>0</v>
      </c>
    </row>
    <row r="50" spans="1:5" x14ac:dyDescent="0.25">
      <c r="A50" s="4" t="s">
        <v>48</v>
      </c>
      <c r="B50" s="5">
        <v>13009</v>
      </c>
      <c r="C50" s="5">
        <v>12828</v>
      </c>
      <c r="D50" s="5">
        <v>12943</v>
      </c>
      <c r="E50" s="5">
        <v>12825</v>
      </c>
    </row>
    <row r="51" spans="1:5" x14ac:dyDescent="0.25">
      <c r="A51" s="4" t="s">
        <v>49</v>
      </c>
      <c r="B51" s="5">
        <v>4243</v>
      </c>
      <c r="C51" s="5">
        <v>4843</v>
      </c>
      <c r="D51" s="5">
        <v>5709</v>
      </c>
      <c r="E51" s="5">
        <v>5923</v>
      </c>
    </row>
    <row r="52" spans="1:5" x14ac:dyDescent="0.25">
      <c r="A52" s="4" t="s">
        <v>50</v>
      </c>
      <c r="B52" s="5">
        <v>6557</v>
      </c>
      <c r="C52" s="5">
        <v>7419</v>
      </c>
      <c r="D52" s="5">
        <v>7381</v>
      </c>
      <c r="E52" s="5">
        <v>7379</v>
      </c>
    </row>
    <row r="53" spans="1:5" x14ac:dyDescent="0.25">
      <c r="A53" s="4" t="s">
        <v>51</v>
      </c>
      <c r="B53" s="5">
        <v>6917</v>
      </c>
      <c r="C53" s="5">
        <v>7269</v>
      </c>
      <c r="D53" s="5">
        <v>7248</v>
      </c>
      <c r="E53" s="5">
        <v>7019</v>
      </c>
    </row>
    <row r="54" spans="1:5" x14ac:dyDescent="0.25">
      <c r="A54" s="4" t="s">
        <v>52</v>
      </c>
      <c r="B54" s="5">
        <v>6917</v>
      </c>
      <c r="C54" s="5">
        <v>7269</v>
      </c>
      <c r="D54" s="5">
        <v>7248</v>
      </c>
      <c r="E54" s="5">
        <v>7019</v>
      </c>
    </row>
    <row r="55" spans="1:5" x14ac:dyDescent="0.25">
      <c r="A55" s="4" t="s">
        <v>53</v>
      </c>
      <c r="B55" s="5">
        <v>0</v>
      </c>
      <c r="C55" s="5">
        <v>0</v>
      </c>
      <c r="D55" s="5">
        <v>0</v>
      </c>
      <c r="E55" s="5">
        <v>0</v>
      </c>
    </row>
    <row r="56" spans="1:5" x14ac:dyDescent="0.25">
      <c r="A56" s="4" t="s">
        <v>54</v>
      </c>
      <c r="B56" s="5">
        <v>0</v>
      </c>
      <c r="C56" s="5">
        <v>237</v>
      </c>
      <c r="D56" s="5">
        <v>222</v>
      </c>
      <c r="E56" s="5">
        <v>271</v>
      </c>
    </row>
    <row r="57" spans="1:5" x14ac:dyDescent="0.25">
      <c r="A57" s="4" t="s">
        <v>55</v>
      </c>
      <c r="B57" s="5">
        <v>152969</v>
      </c>
      <c r="C57" s="5">
        <v>159443</v>
      </c>
      <c r="D57" s="5">
        <v>162050</v>
      </c>
      <c r="E57" s="5">
        <v>163402</v>
      </c>
    </row>
    <row r="58" spans="1:5" x14ac:dyDescent="0.25">
      <c r="A58" s="1" t="s">
        <v>56</v>
      </c>
    </row>
    <row r="59" spans="1:5" x14ac:dyDescent="0.25">
      <c r="A59" s="4" t="s">
        <v>57</v>
      </c>
      <c r="B59" s="5">
        <v>0</v>
      </c>
      <c r="C59" s="5">
        <v>0</v>
      </c>
      <c r="D59" s="5">
        <v>0</v>
      </c>
      <c r="E59" s="5">
        <v>0</v>
      </c>
    </row>
    <row r="60" spans="1:5" x14ac:dyDescent="0.25">
      <c r="A60" s="4" t="s">
        <v>58</v>
      </c>
      <c r="B60" s="5">
        <v>0</v>
      </c>
      <c r="C60" s="5">
        <v>0</v>
      </c>
      <c r="D60" s="5">
        <v>0</v>
      </c>
      <c r="E60" s="5">
        <v>0</v>
      </c>
    </row>
    <row r="61" spans="1:5" x14ac:dyDescent="0.25">
      <c r="A61" s="4" t="s">
        <v>59</v>
      </c>
      <c r="B61" s="5">
        <v>0</v>
      </c>
      <c r="C61" s="5">
        <v>0</v>
      </c>
      <c r="D61" s="5">
        <v>0</v>
      </c>
      <c r="E61" s="5">
        <v>0</v>
      </c>
    </row>
    <row r="62" spans="1:5" x14ac:dyDescent="0.25">
      <c r="A62" s="4" t="s">
        <v>60</v>
      </c>
      <c r="B62" s="5">
        <v>83253</v>
      </c>
      <c r="C62" s="5">
        <v>76693</v>
      </c>
      <c r="D62" s="5">
        <v>83861</v>
      </c>
      <c r="E62" s="5">
        <v>91013</v>
      </c>
    </row>
    <row r="63" spans="1:5" x14ac:dyDescent="0.25">
      <c r="A63" s="4" t="s">
        <v>61</v>
      </c>
      <c r="B63" s="5">
        <v>276</v>
      </c>
      <c r="C63" s="5">
        <v>269</v>
      </c>
      <c r="D63" s="5">
        <v>268</v>
      </c>
      <c r="E63" s="5">
        <v>802</v>
      </c>
    </row>
    <row r="64" spans="1:5" x14ac:dyDescent="0.25">
      <c r="A64" s="4" t="s">
        <v>62</v>
      </c>
      <c r="B64" s="5">
        <v>4839</v>
      </c>
      <c r="C64" s="5">
        <v>4969</v>
      </c>
      <c r="D64" s="5">
        <v>5081</v>
      </c>
      <c r="E64" s="5">
        <v>5503</v>
      </c>
    </row>
    <row r="65" spans="1:5" x14ac:dyDescent="0.25">
      <c r="A65" s="4" t="s">
        <v>63</v>
      </c>
      <c r="B65" s="5">
        <v>78138</v>
      </c>
      <c r="C65" s="5">
        <v>71455</v>
      </c>
      <c r="D65" s="5">
        <v>78512</v>
      </c>
      <c r="E65" s="5">
        <v>84708</v>
      </c>
    </row>
    <row r="66" spans="1:5" x14ac:dyDescent="0.25">
      <c r="A66" s="4" t="s">
        <v>64</v>
      </c>
      <c r="B66" s="5">
        <v>0</v>
      </c>
      <c r="C66" s="5">
        <v>0</v>
      </c>
      <c r="D66" s="5">
        <v>0</v>
      </c>
      <c r="E66" s="5">
        <v>0</v>
      </c>
    </row>
    <row r="67" spans="1:5" x14ac:dyDescent="0.25">
      <c r="A67" s="4" t="s">
        <v>65</v>
      </c>
      <c r="B67" s="5">
        <v>83253</v>
      </c>
      <c r="C67" s="5">
        <v>76693</v>
      </c>
      <c r="D67" s="5">
        <v>83861</v>
      </c>
      <c r="E67" s="5">
        <v>91013</v>
      </c>
    </row>
    <row r="68" spans="1:5" x14ac:dyDescent="0.25">
      <c r="A68" s="4" t="s">
        <v>66</v>
      </c>
      <c r="B68" s="5">
        <v>8638</v>
      </c>
      <c r="C68" s="5">
        <v>7061</v>
      </c>
      <c r="D68" s="5">
        <v>6488</v>
      </c>
      <c r="E68" s="5">
        <v>6408</v>
      </c>
    </row>
    <row r="69" spans="1:5" x14ac:dyDescent="0.25">
      <c r="A69" s="4" t="s">
        <v>67</v>
      </c>
      <c r="B69" s="5">
        <v>91891</v>
      </c>
      <c r="C69" s="5">
        <v>83754</v>
      </c>
      <c r="D69" s="5">
        <v>90349</v>
      </c>
      <c r="E69" s="5">
        <v>97421</v>
      </c>
    </row>
    <row r="70" spans="1:5" x14ac:dyDescent="0.25">
      <c r="A70" s="4" t="s">
        <v>68</v>
      </c>
      <c r="B70" s="5">
        <v>244860</v>
      </c>
      <c r="C70" s="5">
        <v>243197</v>
      </c>
      <c r="D70" s="5">
        <v>252399</v>
      </c>
      <c r="E70" s="5">
        <v>260823</v>
      </c>
    </row>
    <row r="71" spans="1:5" x14ac:dyDescent="0.25">
      <c r="A71" s="1"/>
    </row>
    <row r="72" spans="1:5" x14ac:dyDescent="0.25">
      <c r="A72" s="3" t="s">
        <v>69</v>
      </c>
    </row>
    <row r="73" spans="1:5" x14ac:dyDescent="0.25">
      <c r="A73" s="4" t="s">
        <v>70</v>
      </c>
      <c r="B73" s="5">
        <v>569962</v>
      </c>
      <c r="C73" s="5">
        <v>608481</v>
      </c>
      <c r="D73" s="5">
        <v>645737</v>
      </c>
      <c r="E73" s="5">
        <v>680985</v>
      </c>
    </row>
    <row r="74" spans="1:5" x14ac:dyDescent="0.25">
      <c r="A74" s="4" t="s">
        <v>71</v>
      </c>
      <c r="B74" s="5">
        <v>418342</v>
      </c>
      <c r="C74" s="5">
        <v>452776</v>
      </c>
      <c r="D74" s="5">
        <v>478289</v>
      </c>
      <c r="E74" s="5">
        <v>498780</v>
      </c>
    </row>
    <row r="75" spans="1:5" x14ac:dyDescent="0.25">
      <c r="A75" s="4" t="s">
        <v>72</v>
      </c>
      <c r="B75" s="5">
        <v>115204</v>
      </c>
      <c r="C75" s="5">
        <v>122966</v>
      </c>
      <c r="D75" s="5">
        <v>130878</v>
      </c>
      <c r="E75" s="5">
        <v>139728</v>
      </c>
    </row>
    <row r="76" spans="1:5" x14ac:dyDescent="0.25">
      <c r="A76" s="4" t="s">
        <v>73</v>
      </c>
      <c r="B76" s="5">
        <v>36416</v>
      </c>
      <c r="C76" s="5">
        <v>32739</v>
      </c>
      <c r="D76" s="5">
        <v>36570</v>
      </c>
      <c r="E76" s="5">
        <v>42477</v>
      </c>
    </row>
    <row r="77" spans="1:5" x14ac:dyDescent="0.25">
      <c r="A77" s="4" t="s">
        <v>74</v>
      </c>
      <c r="B77" s="5">
        <v>10658</v>
      </c>
      <c r="C77" s="5">
        <v>10945</v>
      </c>
      <c r="D77" s="5">
        <v>11853</v>
      </c>
      <c r="E77" s="5">
        <v>12973</v>
      </c>
    </row>
    <row r="78" spans="1:5" x14ac:dyDescent="0.25">
      <c r="A78" s="4" t="s">
        <v>75</v>
      </c>
      <c r="B78" s="4" t="s">
        <v>18</v>
      </c>
      <c r="C78" s="4" t="s">
        <v>18</v>
      </c>
      <c r="D78" s="4" t="s">
        <v>18</v>
      </c>
      <c r="E78" s="4" t="s">
        <v>18</v>
      </c>
    </row>
    <row r="79" spans="1:5" x14ac:dyDescent="0.25">
      <c r="A79" s="4" t="s">
        <v>76</v>
      </c>
      <c r="B79" s="4" t="s">
        <v>18</v>
      </c>
      <c r="C79" s="4" t="s">
        <v>18</v>
      </c>
      <c r="D79" s="4" t="s">
        <v>18</v>
      </c>
      <c r="E79" s="4" t="s">
        <v>18</v>
      </c>
    </row>
    <row r="80" spans="1:5" x14ac:dyDescent="0.25">
      <c r="A80" s="4" t="s">
        <v>77</v>
      </c>
      <c r="B80" s="4" t="s">
        <v>18</v>
      </c>
      <c r="C80" s="4" t="s">
        <v>18</v>
      </c>
      <c r="D80" s="4" t="s">
        <v>18</v>
      </c>
      <c r="E80" s="4" t="s">
        <v>18</v>
      </c>
    </row>
    <row r="81" spans="1:5" x14ac:dyDescent="0.25">
      <c r="A81" s="8" t="s">
        <v>78</v>
      </c>
      <c r="B81" s="9">
        <v>25758</v>
      </c>
      <c r="C81" s="9">
        <v>21794</v>
      </c>
      <c r="D81" s="9">
        <v>24717</v>
      </c>
      <c r="E81" s="9">
        <v>29504</v>
      </c>
    </row>
    <row r="82" spans="1:5" x14ac:dyDescent="0.25">
      <c r="A82" s="4" t="s">
        <v>79</v>
      </c>
      <c r="B82" s="5">
        <v>1994</v>
      </c>
      <c r="C82" s="5">
        <v>2128</v>
      </c>
      <c r="D82" s="5">
        <v>2683</v>
      </c>
      <c r="E82" s="5">
        <v>2728</v>
      </c>
    </row>
    <row r="83" spans="1:5" x14ac:dyDescent="0.25">
      <c r="A83" s="4" t="s">
        <v>80</v>
      </c>
      <c r="B83" s="5">
        <v>383</v>
      </c>
      <c r="C83" s="5">
        <v>1124</v>
      </c>
      <c r="D83" s="5">
        <v>-93</v>
      </c>
      <c r="E83" s="5">
        <v>-311</v>
      </c>
    </row>
    <row r="84" spans="1:5" x14ac:dyDescent="0.25">
      <c r="A84" s="4" t="s">
        <v>81</v>
      </c>
      <c r="B84" s="5">
        <v>225</v>
      </c>
      <c r="C84" s="5">
        <v>870</v>
      </c>
      <c r="D84" s="5">
        <v>-639</v>
      </c>
      <c r="E84" s="5">
        <v>-794</v>
      </c>
    </row>
    <row r="85" spans="1:5" x14ac:dyDescent="0.25">
      <c r="A85" s="4" t="s">
        <v>82</v>
      </c>
      <c r="B85" s="5">
        <v>158</v>
      </c>
      <c r="C85" s="5">
        <v>254</v>
      </c>
      <c r="D85" s="5">
        <v>546</v>
      </c>
      <c r="E85" s="5">
        <v>483</v>
      </c>
    </row>
    <row r="86" spans="1:5" x14ac:dyDescent="0.25">
      <c r="A86" s="4" t="s">
        <v>83</v>
      </c>
      <c r="B86" s="5">
        <v>-5451</v>
      </c>
      <c r="C86" s="5">
        <v>-3774</v>
      </c>
      <c r="D86" s="5">
        <v>-93</v>
      </c>
      <c r="E86" s="5">
        <v>-156</v>
      </c>
    </row>
    <row r="87" spans="1:5" x14ac:dyDescent="0.25">
      <c r="A87" s="4" t="s">
        <v>84</v>
      </c>
      <c r="B87" s="5">
        <v>18696</v>
      </c>
      <c r="C87" s="5">
        <v>17016</v>
      </c>
      <c r="D87" s="5">
        <v>21848</v>
      </c>
      <c r="E87" s="5">
        <v>26309</v>
      </c>
    </row>
    <row r="88" spans="1:5" x14ac:dyDescent="0.25">
      <c r="A88" s="4" t="s">
        <v>85</v>
      </c>
      <c r="B88" s="5">
        <v>15536</v>
      </c>
      <c r="C88" s="5">
        <v>15089</v>
      </c>
      <c r="D88" s="5">
        <v>20092</v>
      </c>
      <c r="E88" s="5">
        <v>18571</v>
      </c>
    </row>
    <row r="89" spans="1:5" x14ac:dyDescent="0.25">
      <c r="A89" s="4" t="s">
        <v>86</v>
      </c>
      <c r="B89" s="5">
        <v>3160</v>
      </c>
      <c r="C89" s="5">
        <v>1927</v>
      </c>
      <c r="D89" s="5">
        <v>1756</v>
      </c>
      <c r="E89" s="5">
        <v>7738</v>
      </c>
    </row>
    <row r="90" spans="1:5" x14ac:dyDescent="0.25">
      <c r="A90" s="4" t="s">
        <v>87</v>
      </c>
      <c r="B90" s="5">
        <v>4756</v>
      </c>
      <c r="C90" s="5">
        <v>5724</v>
      </c>
      <c r="D90" s="5">
        <v>5578</v>
      </c>
      <c r="E90" s="5">
        <v>6152</v>
      </c>
    </row>
    <row r="91" spans="1:5" x14ac:dyDescent="0.25">
      <c r="A91" s="4" t="s">
        <v>88</v>
      </c>
      <c r="B91" s="5">
        <v>-759</v>
      </c>
      <c r="C91" s="5">
        <v>430</v>
      </c>
      <c r="D91" s="5">
        <v>-171</v>
      </c>
      <c r="E91" s="5">
        <v>-663</v>
      </c>
    </row>
    <row r="92" spans="1:5" x14ac:dyDescent="0.25">
      <c r="A92" s="4" t="s">
        <v>89</v>
      </c>
      <c r="B92" s="5">
        <v>-671</v>
      </c>
      <c r="C92" s="5">
        <v>608</v>
      </c>
      <c r="D92" s="5">
        <v>-438</v>
      </c>
      <c r="E92" s="5">
        <v>-214</v>
      </c>
    </row>
    <row r="93" spans="1:5" x14ac:dyDescent="0.25">
      <c r="A93" s="4" t="s">
        <v>90</v>
      </c>
      <c r="B93" s="5">
        <v>-129</v>
      </c>
      <c r="C93" s="5">
        <v>-297</v>
      </c>
      <c r="D93" s="5">
        <v>126</v>
      </c>
      <c r="E93" s="5">
        <v>-479</v>
      </c>
    </row>
    <row r="94" spans="1:5" x14ac:dyDescent="0.25">
      <c r="A94" s="4" t="s">
        <v>91</v>
      </c>
      <c r="B94" s="5">
        <v>41</v>
      </c>
      <c r="C94" s="5">
        <v>119</v>
      </c>
      <c r="D94" s="5">
        <v>141</v>
      </c>
      <c r="E94" s="5">
        <v>30</v>
      </c>
    </row>
    <row r="95" spans="1:5" x14ac:dyDescent="0.25">
      <c r="A95" s="4" t="s">
        <v>92</v>
      </c>
      <c r="B95" s="5">
        <v>3313</v>
      </c>
      <c r="C95" s="5">
        <v>2030</v>
      </c>
      <c r="D95" s="5">
        <v>3215</v>
      </c>
      <c r="E95" s="5">
        <v>3478</v>
      </c>
    </row>
    <row r="96" spans="1:5" x14ac:dyDescent="0.25">
      <c r="A96" s="4" t="s">
        <v>93</v>
      </c>
      <c r="B96" s="5">
        <v>1553</v>
      </c>
      <c r="C96" s="5">
        <v>2654</v>
      </c>
      <c r="D96" s="5">
        <v>1772</v>
      </c>
      <c r="E96" s="5">
        <v>2451</v>
      </c>
    </row>
    <row r="97" spans="1:5" x14ac:dyDescent="0.25">
      <c r="A97" s="4" t="s">
        <v>94</v>
      </c>
      <c r="B97" s="5">
        <v>649</v>
      </c>
      <c r="C97" s="5">
        <v>610</v>
      </c>
      <c r="D97" s="5">
        <v>762</v>
      </c>
      <c r="E97" s="5">
        <v>886</v>
      </c>
    </row>
    <row r="98" spans="1:5" x14ac:dyDescent="0.25">
      <c r="A98" s="4" t="s">
        <v>95</v>
      </c>
      <c r="B98" s="5">
        <v>0</v>
      </c>
      <c r="C98" s="5">
        <v>0</v>
      </c>
      <c r="D98" s="5">
        <v>0</v>
      </c>
      <c r="E98" s="5">
        <v>0</v>
      </c>
    </row>
    <row r="99" spans="1:5" x14ac:dyDescent="0.25">
      <c r="A99" s="4" t="s">
        <v>96</v>
      </c>
      <c r="B99" s="5">
        <v>267</v>
      </c>
      <c r="C99" s="5">
        <v>-388</v>
      </c>
      <c r="D99" s="5">
        <v>759</v>
      </c>
      <c r="E99" s="5">
        <v>721</v>
      </c>
    </row>
    <row r="100" spans="1:5" x14ac:dyDescent="0.25">
      <c r="A100" s="4" t="s">
        <v>97</v>
      </c>
      <c r="B100" s="5">
        <v>13673</v>
      </c>
      <c r="C100" s="5">
        <v>11680</v>
      </c>
      <c r="D100" s="5">
        <v>15511</v>
      </c>
      <c r="E100" s="5">
        <v>19436</v>
      </c>
    </row>
    <row r="101" spans="1:5" x14ac:dyDescent="0.25">
      <c r="A101" s="4" t="s">
        <v>98</v>
      </c>
      <c r="B101" s="5">
        <v>0</v>
      </c>
      <c r="C101" s="5">
        <v>0</v>
      </c>
      <c r="D101" s="5">
        <v>0</v>
      </c>
      <c r="E101" s="5">
        <v>0</v>
      </c>
    </row>
    <row r="102" spans="1:5" x14ac:dyDescent="0.25">
      <c r="A102" s="4" t="s">
        <v>99</v>
      </c>
      <c r="B102" s="5">
        <v>13673</v>
      </c>
      <c r="C102" s="5">
        <v>11680</v>
      </c>
      <c r="D102" s="5">
        <v>15511</v>
      </c>
      <c r="E102" s="5">
        <v>19436</v>
      </c>
    </row>
    <row r="103" spans="1:5" x14ac:dyDescent="0.25">
      <c r="A103" s="4" t="s">
        <v>100</v>
      </c>
      <c r="B103" s="5">
        <v>0</v>
      </c>
      <c r="C103" s="5">
        <v>0</v>
      </c>
      <c r="D103" s="5">
        <v>0</v>
      </c>
      <c r="E103" s="5">
        <v>0</v>
      </c>
    </row>
    <row r="104" spans="1:5" x14ac:dyDescent="0.25">
      <c r="A104" s="4" t="s">
        <v>101</v>
      </c>
      <c r="B104" s="5">
        <v>13673</v>
      </c>
      <c r="C104" s="5">
        <v>11680</v>
      </c>
      <c r="D104" s="5">
        <v>15511</v>
      </c>
      <c r="E104" s="5">
        <v>19436</v>
      </c>
    </row>
    <row r="105" spans="1:5" x14ac:dyDescent="0.25">
      <c r="A105" s="4" t="s">
        <v>102</v>
      </c>
      <c r="B105" s="5">
        <v>0</v>
      </c>
      <c r="C105" s="5">
        <v>0</v>
      </c>
      <c r="D105" s="5">
        <v>0</v>
      </c>
      <c r="E105" s="5">
        <v>0</v>
      </c>
    </row>
    <row r="106" spans="1:5" x14ac:dyDescent="0.25">
      <c r="A106" s="4" t="s">
        <v>103</v>
      </c>
      <c r="B106" s="5">
        <v>0</v>
      </c>
      <c r="C106" s="5">
        <v>0</v>
      </c>
      <c r="D106" s="5">
        <v>0</v>
      </c>
      <c r="E106" s="5">
        <v>0</v>
      </c>
    </row>
    <row r="107" spans="1:5" x14ac:dyDescent="0.25">
      <c r="A107" s="4" t="s">
        <v>104</v>
      </c>
      <c r="B107" s="5">
        <v>0</v>
      </c>
      <c r="C107" s="5">
        <v>0</v>
      </c>
      <c r="D107" s="5">
        <v>0</v>
      </c>
      <c r="E107" s="5">
        <v>0</v>
      </c>
    </row>
    <row r="108" spans="1:5" x14ac:dyDescent="0.25">
      <c r="A108" s="4" t="s">
        <v>105</v>
      </c>
      <c r="B108" s="5">
        <v>13673</v>
      </c>
      <c r="C108" s="5">
        <v>11680</v>
      </c>
      <c r="D108" s="5">
        <v>15511</v>
      </c>
      <c r="E108" s="5">
        <v>19436</v>
      </c>
    </row>
    <row r="109" spans="1:5" x14ac:dyDescent="0.25">
      <c r="A109" s="4" t="s">
        <v>106</v>
      </c>
      <c r="B109" s="5">
        <v>13673</v>
      </c>
      <c r="C109" s="5">
        <v>11680</v>
      </c>
      <c r="D109" s="5">
        <v>15511</v>
      </c>
      <c r="E109" s="5">
        <v>19436</v>
      </c>
    </row>
    <row r="110" spans="1:5" x14ac:dyDescent="0.25">
      <c r="A110" s="1"/>
    </row>
    <row r="111" spans="1:5" x14ac:dyDescent="0.25">
      <c r="A111" s="3" t="s">
        <v>107</v>
      </c>
    </row>
    <row r="112" spans="1:5" x14ac:dyDescent="0.25">
      <c r="A112" s="1" t="s">
        <v>108</v>
      </c>
    </row>
    <row r="113" spans="1:5" x14ac:dyDescent="0.25">
      <c r="A113" s="4" t="s">
        <v>97</v>
      </c>
      <c r="B113" s="5">
        <v>13940</v>
      </c>
      <c r="C113" s="5">
        <v>11292</v>
      </c>
      <c r="D113" s="5">
        <v>16270</v>
      </c>
      <c r="E113" s="5">
        <v>20157</v>
      </c>
    </row>
    <row r="114" spans="1:5" x14ac:dyDescent="0.25">
      <c r="A114" s="4" t="s">
        <v>74</v>
      </c>
      <c r="B114" s="5">
        <v>10658</v>
      </c>
      <c r="C114" s="5">
        <v>10945</v>
      </c>
      <c r="D114" s="5">
        <v>11853</v>
      </c>
      <c r="E114" s="5">
        <v>12973</v>
      </c>
    </row>
    <row r="115" spans="1:5" x14ac:dyDescent="0.25">
      <c r="A115" s="4" t="s">
        <v>102</v>
      </c>
      <c r="B115" s="5">
        <v>0</v>
      </c>
      <c r="C115" s="5">
        <v>0</v>
      </c>
      <c r="D115" s="5">
        <v>0</v>
      </c>
      <c r="E115" s="5">
        <v>0</v>
      </c>
    </row>
    <row r="116" spans="1:5" x14ac:dyDescent="0.25">
      <c r="A116" s="4" t="s">
        <v>109</v>
      </c>
      <c r="B116" s="5">
        <v>-755</v>
      </c>
      <c r="C116" s="5">
        <v>449</v>
      </c>
      <c r="D116" s="5">
        <v>-175</v>
      </c>
      <c r="E116" s="5">
        <v>-635</v>
      </c>
    </row>
    <row r="117" spans="1:5" x14ac:dyDescent="0.25">
      <c r="A117" s="4" t="s">
        <v>110</v>
      </c>
      <c r="B117" s="4" t="s">
        <v>18</v>
      </c>
      <c r="C117" s="4" t="s">
        <v>18</v>
      </c>
      <c r="D117" s="4" t="s">
        <v>18</v>
      </c>
      <c r="E117" s="4" t="s">
        <v>18</v>
      </c>
    </row>
    <row r="118" spans="1:5" x14ac:dyDescent="0.25">
      <c r="A118" s="4" t="s">
        <v>111</v>
      </c>
      <c r="B118" s="5">
        <v>433</v>
      </c>
      <c r="C118" s="5">
        <v>0</v>
      </c>
      <c r="D118" s="4" t="s">
        <v>18</v>
      </c>
      <c r="E118" s="4" t="s">
        <v>18</v>
      </c>
    </row>
    <row r="119" spans="1:5" x14ac:dyDescent="0.25">
      <c r="A119" s="4" t="s">
        <v>112</v>
      </c>
      <c r="B119" s="5">
        <v>6502</v>
      </c>
      <c r="C119" s="5">
        <v>3602</v>
      </c>
      <c r="D119" s="5">
        <v>5835</v>
      </c>
      <c r="E119" s="5">
        <v>3767</v>
      </c>
    </row>
    <row r="120" spans="1:5" x14ac:dyDescent="0.25">
      <c r="A120" s="4" t="s">
        <v>113</v>
      </c>
      <c r="B120" s="5">
        <v>-1796</v>
      </c>
      <c r="C120" s="5">
        <v>240</v>
      </c>
      <c r="D120" s="5">
        <v>-797</v>
      </c>
      <c r="E120" s="5">
        <v>-1106</v>
      </c>
    </row>
    <row r="121" spans="1:5" x14ac:dyDescent="0.25">
      <c r="A121" s="4" t="s">
        <v>114</v>
      </c>
      <c r="B121" s="5">
        <v>-11764</v>
      </c>
      <c r="C121" s="5">
        <v>-528</v>
      </c>
      <c r="D121" s="5">
        <v>2017</v>
      </c>
      <c r="E121" s="5">
        <v>-2755</v>
      </c>
    </row>
    <row r="122" spans="1:5" x14ac:dyDescent="0.25">
      <c r="A122" s="4" t="s">
        <v>115</v>
      </c>
      <c r="B122" s="5">
        <v>6924</v>
      </c>
      <c r="C122" s="5">
        <v>2968</v>
      </c>
      <c r="D122" s="5">
        <v>1191</v>
      </c>
      <c r="E122" s="5">
        <v>3607</v>
      </c>
    </row>
    <row r="123" spans="1:5" x14ac:dyDescent="0.25">
      <c r="A123" s="4" t="s">
        <v>116</v>
      </c>
      <c r="B123" s="5">
        <v>39</v>
      </c>
      <c r="C123" s="5">
        <v>-127</v>
      </c>
      <c r="D123" s="5">
        <v>-468</v>
      </c>
      <c r="E123" s="5">
        <v>435</v>
      </c>
    </row>
    <row r="124" spans="1:5" x14ac:dyDescent="0.25">
      <c r="A124" s="4" t="s">
        <v>117</v>
      </c>
      <c r="B124" s="5">
        <v>0</v>
      </c>
      <c r="C124" s="5">
        <v>0</v>
      </c>
      <c r="D124" s="5">
        <v>0</v>
      </c>
      <c r="E124" s="5">
        <v>0</v>
      </c>
    </row>
    <row r="125" spans="1:5" x14ac:dyDescent="0.25">
      <c r="A125" s="4" t="s">
        <v>118</v>
      </c>
      <c r="B125" s="5">
        <v>24181</v>
      </c>
      <c r="C125" s="5">
        <v>28841</v>
      </c>
      <c r="D125" s="5">
        <v>35726</v>
      </c>
      <c r="E125" s="5">
        <v>36443</v>
      </c>
    </row>
    <row r="126" spans="1:5" x14ac:dyDescent="0.25">
      <c r="A126" s="1" t="s">
        <v>119</v>
      </c>
    </row>
    <row r="127" spans="1:5" x14ac:dyDescent="0.25">
      <c r="A127" s="4" t="s">
        <v>120</v>
      </c>
      <c r="B127" s="5">
        <v>0</v>
      </c>
      <c r="C127" s="5">
        <v>0</v>
      </c>
      <c r="D127" s="5">
        <v>0</v>
      </c>
      <c r="E127" s="5">
        <v>0</v>
      </c>
    </row>
    <row r="128" spans="1:5" x14ac:dyDescent="0.25">
      <c r="A128" s="4" t="s">
        <v>121</v>
      </c>
      <c r="B128" s="5">
        <v>0</v>
      </c>
      <c r="C128" s="5">
        <v>0</v>
      </c>
      <c r="D128" s="5">
        <v>0</v>
      </c>
      <c r="E128" s="5">
        <v>4080</v>
      </c>
    </row>
    <row r="129" spans="1:5" x14ac:dyDescent="0.25">
      <c r="A129" s="4" t="s">
        <v>122</v>
      </c>
      <c r="B129" s="4" t="s">
        <v>18</v>
      </c>
      <c r="C129" s="4" t="s">
        <v>18</v>
      </c>
      <c r="D129" s="4" t="s">
        <v>18</v>
      </c>
      <c r="E129" s="4" t="s">
        <v>18</v>
      </c>
    </row>
    <row r="130" spans="1:5" x14ac:dyDescent="0.25">
      <c r="A130" s="4" t="s">
        <v>123</v>
      </c>
      <c r="B130" s="5">
        <v>13106</v>
      </c>
      <c r="C130" s="5">
        <v>16857</v>
      </c>
      <c r="D130" s="5">
        <v>20606</v>
      </c>
      <c r="E130" s="5">
        <v>23783</v>
      </c>
    </row>
    <row r="131" spans="1:5" x14ac:dyDescent="0.25">
      <c r="A131" s="4" t="s">
        <v>124</v>
      </c>
      <c r="B131" s="5">
        <v>394</v>
      </c>
      <c r="C131" s="5">
        <v>170</v>
      </c>
      <c r="D131" s="5">
        <v>250</v>
      </c>
      <c r="E131" s="5">
        <v>432</v>
      </c>
    </row>
    <row r="132" spans="1:5" x14ac:dyDescent="0.25">
      <c r="A132" s="4" t="s">
        <v>125</v>
      </c>
      <c r="B132" s="5">
        <v>359</v>
      </c>
      <c r="C132" s="5">
        <v>740</v>
      </c>
      <c r="D132" s="5">
        <v>9</v>
      </c>
      <c r="E132" s="5">
        <v>1896</v>
      </c>
    </row>
    <row r="133" spans="1:5" x14ac:dyDescent="0.25">
      <c r="A133" s="4" t="s">
        <v>126</v>
      </c>
      <c r="B133" s="5">
        <v>7056</v>
      </c>
      <c r="C133" s="5">
        <v>-295</v>
      </c>
      <c r="D133" s="5">
        <v>-922</v>
      </c>
      <c r="E133" s="5">
        <v>-212</v>
      </c>
    </row>
    <row r="134" spans="1:5" x14ac:dyDescent="0.25">
      <c r="A134" s="4" t="s">
        <v>127</v>
      </c>
      <c r="B134" s="5">
        <v>-6015</v>
      </c>
      <c r="C134" s="5">
        <v>-17722</v>
      </c>
      <c r="D134" s="5">
        <v>-21287</v>
      </c>
      <c r="E134" s="5">
        <v>-21379</v>
      </c>
    </row>
    <row r="135" spans="1:5" x14ac:dyDescent="0.25">
      <c r="A135" s="1" t="s">
        <v>128</v>
      </c>
    </row>
    <row r="136" spans="1:5" x14ac:dyDescent="0.25">
      <c r="A136" s="4" t="s">
        <v>129</v>
      </c>
      <c r="B136" s="5">
        <v>0</v>
      </c>
      <c r="C136" s="5">
        <v>0</v>
      </c>
      <c r="D136" s="5">
        <v>0</v>
      </c>
      <c r="E136" s="5">
        <v>0</v>
      </c>
    </row>
    <row r="137" spans="1:5" x14ac:dyDescent="0.25">
      <c r="A137" s="4" t="s">
        <v>130</v>
      </c>
      <c r="B137" s="5">
        <v>9787</v>
      </c>
      <c r="C137" s="5">
        <v>9920</v>
      </c>
      <c r="D137" s="5">
        <v>2779</v>
      </c>
      <c r="E137" s="5">
        <v>4494</v>
      </c>
    </row>
    <row r="138" spans="1:5" x14ac:dyDescent="0.25">
      <c r="A138" s="4" t="s">
        <v>131</v>
      </c>
      <c r="B138" s="5">
        <v>6152</v>
      </c>
      <c r="C138" s="5">
        <v>6114</v>
      </c>
      <c r="D138" s="5">
        <v>6140</v>
      </c>
      <c r="E138" s="5">
        <v>6688</v>
      </c>
    </row>
    <row r="139" spans="1:5" x14ac:dyDescent="0.25">
      <c r="A139" s="4" t="s">
        <v>132</v>
      </c>
      <c r="B139" s="5">
        <v>6945</v>
      </c>
      <c r="C139" s="5">
        <v>5041</v>
      </c>
      <c r="D139" s="5">
        <v>4967</v>
      </c>
      <c r="E139" s="5">
        <v>0</v>
      </c>
    </row>
    <row r="140" spans="1:5" x14ac:dyDescent="0.25">
      <c r="A140" s="4" t="s">
        <v>133</v>
      </c>
      <c r="B140" s="5">
        <v>13010</v>
      </c>
      <c r="C140" s="5">
        <v>2689</v>
      </c>
      <c r="D140" s="5">
        <v>4217</v>
      </c>
      <c r="E140" s="5">
        <v>3468</v>
      </c>
    </row>
    <row r="141" spans="1:5" x14ac:dyDescent="0.25">
      <c r="A141" s="4" t="s">
        <v>134</v>
      </c>
      <c r="B141" s="5">
        <v>193</v>
      </c>
      <c r="C141" s="5">
        <v>-34</v>
      </c>
      <c r="D141" s="5">
        <v>512</v>
      </c>
      <c r="E141" s="5">
        <v>2212</v>
      </c>
    </row>
    <row r="142" spans="1:5" x14ac:dyDescent="0.25">
      <c r="A142" s="4" t="s">
        <v>135</v>
      </c>
      <c r="B142" s="5">
        <v>-1017</v>
      </c>
      <c r="C142" s="5">
        <v>-3323</v>
      </c>
      <c r="D142" s="5">
        <v>-5757</v>
      </c>
      <c r="E142" s="5">
        <v>-2384</v>
      </c>
    </row>
    <row r="143" spans="1:5" x14ac:dyDescent="0.25">
      <c r="A143" s="4" t="s">
        <v>136</v>
      </c>
      <c r="B143" s="5">
        <v>-22828</v>
      </c>
      <c r="C143" s="5">
        <v>-17039</v>
      </c>
      <c r="D143" s="5">
        <v>-13414</v>
      </c>
      <c r="E143" s="5">
        <v>-14822</v>
      </c>
    </row>
    <row r="144" spans="1:5" x14ac:dyDescent="0.25">
      <c r="A144" s="4" t="s">
        <v>137</v>
      </c>
      <c r="B144" s="5">
        <v>-140</v>
      </c>
      <c r="C144" s="5">
        <v>-73</v>
      </c>
      <c r="D144" s="5">
        <v>69</v>
      </c>
      <c r="E144" s="5">
        <v>-641</v>
      </c>
    </row>
    <row r="145" spans="1:5" x14ac:dyDescent="0.25">
      <c r="A145" s="4" t="s">
        <v>138</v>
      </c>
      <c r="B145" s="5">
        <v>-4802</v>
      </c>
      <c r="C145" s="5">
        <v>-5993</v>
      </c>
      <c r="D145" s="5">
        <v>1094</v>
      </c>
      <c r="E145" s="5">
        <v>-399</v>
      </c>
    </row>
    <row r="146" spans="1:5" x14ac:dyDescent="0.25">
      <c r="A146" s="1" t="s">
        <v>139</v>
      </c>
    </row>
    <row r="147" spans="1:5" x14ac:dyDescent="0.25">
      <c r="A147" s="4" t="s">
        <v>140</v>
      </c>
      <c r="B147" s="5">
        <v>2237</v>
      </c>
      <c r="C147" s="5">
        <v>2051</v>
      </c>
      <c r="D147" s="5">
        <v>2519</v>
      </c>
      <c r="E147" s="5">
        <v>2739</v>
      </c>
    </row>
    <row r="148" spans="1:5" x14ac:dyDescent="0.25">
      <c r="A148" s="4" t="s">
        <v>141</v>
      </c>
      <c r="B148" s="5">
        <v>5918</v>
      </c>
      <c r="C148" s="5">
        <v>3310</v>
      </c>
      <c r="D148" s="5">
        <v>5879</v>
      </c>
      <c r="E148" s="5">
        <v>5884</v>
      </c>
    </row>
    <row r="149" spans="1:5" x14ac:dyDescent="0.25">
      <c r="A149" s="1"/>
    </row>
    <row r="150" spans="1:5" x14ac:dyDescent="0.25">
      <c r="A150" s="3" t="s">
        <v>142</v>
      </c>
    </row>
    <row r="151" spans="1:5" x14ac:dyDescent="0.25">
      <c r="A151" s="4" t="s">
        <v>143</v>
      </c>
      <c r="B151" s="4" t="s">
        <v>18</v>
      </c>
      <c r="C151" s="4" t="s">
        <v>18</v>
      </c>
      <c r="D151" s="4" t="s">
        <v>18</v>
      </c>
      <c r="E151" s="4" t="s">
        <v>18</v>
      </c>
    </row>
    <row r="152" spans="1:5" x14ac:dyDescent="0.25">
      <c r="A152" s="4" t="s">
        <v>144</v>
      </c>
      <c r="B152" s="4" t="s">
        <v>18</v>
      </c>
      <c r="C152" s="4" t="s">
        <v>18</v>
      </c>
      <c r="D152" s="4" t="s">
        <v>18</v>
      </c>
      <c r="E152" s="4" t="s">
        <v>18</v>
      </c>
    </row>
    <row r="153" spans="1:5" x14ac:dyDescent="0.25">
      <c r="A153" s="4" t="s">
        <v>145</v>
      </c>
      <c r="B153" s="5">
        <v>3</v>
      </c>
      <c r="C153" s="5">
        <v>3</v>
      </c>
      <c r="D153" s="5">
        <v>3</v>
      </c>
      <c r="E153" s="5">
        <v>1</v>
      </c>
    </row>
    <row r="154" spans="1:5" x14ac:dyDescent="0.25">
      <c r="A154" s="4" t="s">
        <v>146</v>
      </c>
      <c r="B154" s="5">
        <v>3900</v>
      </c>
      <c r="C154" s="5">
        <v>4100</v>
      </c>
      <c r="D154" s="5">
        <v>4400</v>
      </c>
      <c r="E154" s="5">
        <v>5100</v>
      </c>
    </row>
    <row r="155" spans="1:5" x14ac:dyDescent="0.25">
      <c r="A155" s="4" t="s">
        <v>147</v>
      </c>
      <c r="B155" s="4" t="s">
        <v>18</v>
      </c>
      <c r="C155" s="4" t="s">
        <v>18</v>
      </c>
      <c r="D155" s="4" t="s">
        <v>18</v>
      </c>
      <c r="E155" s="4" t="s">
        <v>18</v>
      </c>
    </row>
    <row r="156" spans="1:5" x14ac:dyDescent="0.25">
      <c r="A156" s="4" t="s">
        <v>148</v>
      </c>
      <c r="B156" s="4" t="s">
        <v>18</v>
      </c>
      <c r="C156" s="4" t="s">
        <v>18</v>
      </c>
      <c r="D156" s="4" t="s">
        <v>18</v>
      </c>
      <c r="E156" s="4" t="s">
        <v>18</v>
      </c>
    </row>
    <row r="157" spans="1:5" x14ac:dyDescent="0.25">
      <c r="A157" s="4" t="s">
        <v>149</v>
      </c>
      <c r="B157" s="5">
        <v>209.87</v>
      </c>
      <c r="C157" s="5">
        <v>205.465</v>
      </c>
      <c r="D157" s="5">
        <v>200.34399999999999</v>
      </c>
      <c r="E157" s="5">
        <v>194.16200000000001</v>
      </c>
    </row>
    <row r="158" spans="1:5" x14ac:dyDescent="0.25">
      <c r="A158" s="4" t="s">
        <v>150</v>
      </c>
      <c r="B158" s="5">
        <v>2092396457</v>
      </c>
      <c r="C158" s="5">
        <v>1995829615</v>
      </c>
      <c r="D158" s="5">
        <v>1576430301</v>
      </c>
      <c r="E158" s="5">
        <v>4271130246</v>
      </c>
    </row>
    <row r="159" spans="1:5" x14ac:dyDescent="0.25">
      <c r="A159" s="4" t="s">
        <v>151</v>
      </c>
      <c r="B159" s="4" t="s">
        <v>18</v>
      </c>
      <c r="C159" s="4" t="s">
        <v>18</v>
      </c>
      <c r="D159" s="4" t="s">
        <v>18</v>
      </c>
      <c r="E159" s="4" t="s">
        <v>18</v>
      </c>
    </row>
    <row r="160" spans="1:5" x14ac:dyDescent="0.25">
      <c r="A160" s="4" t="s">
        <v>152</v>
      </c>
      <c r="B160" s="5">
        <v>0</v>
      </c>
      <c r="C160" s="5">
        <v>0</v>
      </c>
      <c r="D160" s="5">
        <v>0</v>
      </c>
      <c r="E160" s="5">
        <v>0</v>
      </c>
    </row>
    <row r="161" spans="1:5" x14ac:dyDescent="0.25">
      <c r="A161" s="4" t="s">
        <v>153</v>
      </c>
      <c r="B161" s="5">
        <v>4899</v>
      </c>
      <c r="C161" s="5">
        <v>4290</v>
      </c>
      <c r="D161" s="5">
        <v>3600</v>
      </c>
      <c r="E161" s="5">
        <v>4537</v>
      </c>
    </row>
    <row r="162" spans="1:5" x14ac:dyDescent="0.25">
      <c r="A162" s="4" t="s">
        <v>154</v>
      </c>
      <c r="B162" s="5">
        <v>4176</v>
      </c>
      <c r="C162" s="5">
        <v>3316</v>
      </c>
      <c r="D162" s="5">
        <v>4409</v>
      </c>
      <c r="E162" s="5">
        <v>2728</v>
      </c>
    </row>
    <row r="163" spans="1:5" x14ac:dyDescent="0.25">
      <c r="A163" s="4" t="s">
        <v>155</v>
      </c>
      <c r="B163" s="5">
        <v>1412</v>
      </c>
      <c r="C163" s="5">
        <v>3375</v>
      </c>
      <c r="D163" s="5">
        <v>2583</v>
      </c>
      <c r="E163" s="5">
        <v>4148</v>
      </c>
    </row>
    <row r="164" spans="1:5" x14ac:dyDescent="0.25">
      <c r="A164" s="4" t="s">
        <v>156</v>
      </c>
      <c r="B164" s="5">
        <v>3239</v>
      </c>
      <c r="C164" s="5">
        <v>2362</v>
      </c>
      <c r="D164" s="5">
        <v>4094</v>
      </c>
      <c r="E164" s="5">
        <v>2616</v>
      </c>
    </row>
    <row r="165" spans="1:5" x14ac:dyDescent="0.25">
      <c r="A165" s="4" t="s">
        <v>157</v>
      </c>
      <c r="B165" s="5">
        <v>8021</v>
      </c>
      <c r="C165" s="5">
        <v>8021</v>
      </c>
      <c r="D165" s="5">
        <v>6271</v>
      </c>
      <c r="E165" s="5">
        <v>4771</v>
      </c>
    </row>
    <row r="166" spans="1:5" x14ac:dyDescent="0.25">
      <c r="A166" s="4" t="s">
        <v>158</v>
      </c>
      <c r="B166" s="5">
        <v>4243</v>
      </c>
      <c r="C166" s="5">
        <v>4843</v>
      </c>
      <c r="D166" s="5">
        <v>5709</v>
      </c>
      <c r="E166" s="5">
        <v>5923</v>
      </c>
    </row>
    <row r="167" spans="1:5" x14ac:dyDescent="0.25">
      <c r="A167" s="4" t="s">
        <v>159</v>
      </c>
      <c r="B167" s="5">
        <v>0</v>
      </c>
      <c r="C167" s="5">
        <v>0</v>
      </c>
      <c r="D167" s="5">
        <v>0</v>
      </c>
      <c r="E167" s="5">
        <v>0</v>
      </c>
    </row>
    <row r="168" spans="1:5" x14ac:dyDescent="0.25">
      <c r="A168" s="4" t="s">
        <v>160</v>
      </c>
      <c r="B168" s="5">
        <v>2.2000000000000002</v>
      </c>
      <c r="C168" s="5">
        <v>2.2400000000000002</v>
      </c>
      <c r="D168" s="5">
        <v>2.2799999999999998</v>
      </c>
      <c r="E168" s="5">
        <v>0.83</v>
      </c>
    </row>
    <row r="169" spans="1:5" x14ac:dyDescent="0.25">
      <c r="A169" s="4" t="s">
        <v>161</v>
      </c>
      <c r="B169" s="5">
        <v>6152</v>
      </c>
      <c r="C169" s="5">
        <v>6114</v>
      </c>
      <c r="D169" s="5">
        <v>6140</v>
      </c>
      <c r="E169" s="5">
        <v>6688</v>
      </c>
    </row>
    <row r="170" spans="1:5" x14ac:dyDescent="0.25">
      <c r="A170" s="4" t="s">
        <v>162</v>
      </c>
      <c r="B170" s="5">
        <v>0</v>
      </c>
      <c r="C170" s="5">
        <v>0</v>
      </c>
      <c r="D170" s="5">
        <v>0</v>
      </c>
      <c r="E170" s="5">
        <v>0</v>
      </c>
    </row>
    <row r="171" spans="1:5" x14ac:dyDescent="0.25">
      <c r="A171" s="4" t="s">
        <v>163</v>
      </c>
      <c r="B171" s="5">
        <v>2300</v>
      </c>
      <c r="C171" s="5">
        <v>2100</v>
      </c>
      <c r="D171" s="5">
        <v>2100</v>
      </c>
      <c r="E171" s="5">
        <v>2100</v>
      </c>
    </row>
    <row r="172" spans="1:5" x14ac:dyDescent="0.25">
      <c r="A172" s="4" t="s">
        <v>164</v>
      </c>
      <c r="B172" s="5">
        <v>244860</v>
      </c>
      <c r="C172" s="5">
        <v>243197</v>
      </c>
      <c r="D172" s="5">
        <v>252399</v>
      </c>
      <c r="E172" s="5">
        <v>260823</v>
      </c>
    </row>
    <row r="173" spans="1:5" x14ac:dyDescent="0.25">
      <c r="A173" s="4" t="s">
        <v>165</v>
      </c>
      <c r="B173" s="4" t="s">
        <v>18</v>
      </c>
      <c r="C173" s="4" t="s">
        <v>18</v>
      </c>
      <c r="D173" s="4" t="s">
        <v>18</v>
      </c>
      <c r="E173" s="4" t="s">
        <v>18</v>
      </c>
    </row>
    <row r="174" spans="1:5" x14ac:dyDescent="0.25">
      <c r="A174" s="4" t="s">
        <v>166</v>
      </c>
      <c r="B174" s="4" t="s">
        <v>18</v>
      </c>
      <c r="C174" s="4" t="s">
        <v>18</v>
      </c>
      <c r="D174" s="4" t="s">
        <v>18</v>
      </c>
      <c r="E174" s="4" t="s">
        <v>18</v>
      </c>
    </row>
    <row r="175" spans="1:5" x14ac:dyDescent="0.25">
      <c r="A175" s="4" t="s">
        <v>167</v>
      </c>
      <c r="B175" s="4" t="s">
        <v>18</v>
      </c>
      <c r="C175" s="4" t="s">
        <v>18</v>
      </c>
      <c r="D175" s="4" t="s">
        <v>18</v>
      </c>
      <c r="E175" s="4" t="s">
        <v>18</v>
      </c>
    </row>
    <row r="176" spans="1:5" x14ac:dyDescent="0.25">
      <c r="A176" s="4" t="s">
        <v>168</v>
      </c>
      <c r="B176" s="4" t="s">
        <v>18</v>
      </c>
      <c r="C176" s="4" t="s">
        <v>18</v>
      </c>
      <c r="D176" s="4" t="s">
        <v>18</v>
      </c>
      <c r="E176" s="4" t="s">
        <v>18</v>
      </c>
    </row>
    <row r="177" spans="1:5" x14ac:dyDescent="0.25">
      <c r="A177" s="4" t="s">
        <v>169</v>
      </c>
      <c r="B177" s="4" t="s">
        <v>18</v>
      </c>
      <c r="C177" s="4" t="s">
        <v>18</v>
      </c>
      <c r="D177" s="4" t="s">
        <v>18</v>
      </c>
      <c r="E177" s="4" t="s">
        <v>18</v>
      </c>
    </row>
    <row r="178" spans="1:5" x14ac:dyDescent="0.25">
      <c r="A178" s="4" t="s">
        <v>170</v>
      </c>
      <c r="B178" s="5">
        <v>0</v>
      </c>
      <c r="C178" s="5">
        <v>0</v>
      </c>
      <c r="D178" s="5">
        <v>0</v>
      </c>
      <c r="E178" s="5">
        <v>0</v>
      </c>
    </row>
    <row r="179" spans="1:5" x14ac:dyDescent="0.25">
      <c r="A179" s="4" t="s">
        <v>171</v>
      </c>
      <c r="B179" s="4" t="s">
        <v>18</v>
      </c>
      <c r="C179" s="4" t="s">
        <v>18</v>
      </c>
      <c r="D179" s="4" t="s">
        <v>18</v>
      </c>
      <c r="E179" s="4" t="s">
        <v>18</v>
      </c>
    </row>
    <row r="180" spans="1:5" x14ac:dyDescent="0.25">
      <c r="A180" s="4" t="s">
        <v>172</v>
      </c>
      <c r="B180" s="4" t="s">
        <v>18</v>
      </c>
      <c r="C180" s="4" t="s">
        <v>18</v>
      </c>
      <c r="D180" s="4" t="s">
        <v>18</v>
      </c>
      <c r="E180" s="4" t="s">
        <v>18</v>
      </c>
    </row>
    <row r="181" spans="1:5" x14ac:dyDescent="0.25">
      <c r="A181" s="4" t="s">
        <v>173</v>
      </c>
      <c r="B181" s="5">
        <v>0</v>
      </c>
      <c r="C181" s="5">
        <v>0</v>
      </c>
      <c r="D181" s="5">
        <v>0</v>
      </c>
      <c r="E181" s="5">
        <v>0</v>
      </c>
    </row>
    <row r="182" spans="1:5" x14ac:dyDescent="0.25">
      <c r="A182" s="4" t="s">
        <v>174</v>
      </c>
      <c r="B182" s="5">
        <v>0</v>
      </c>
      <c r="C182" s="5">
        <v>0</v>
      </c>
      <c r="D182" s="5">
        <v>0</v>
      </c>
      <c r="E182" s="5">
        <v>0</v>
      </c>
    </row>
    <row r="183" spans="1:5" x14ac:dyDescent="0.25">
      <c r="A183" s="4" t="s">
        <v>175</v>
      </c>
      <c r="B183" s="5">
        <v>0</v>
      </c>
      <c r="C183" s="5">
        <v>0</v>
      </c>
      <c r="D183" s="5">
        <v>0</v>
      </c>
      <c r="E183" s="5">
        <v>0</v>
      </c>
    </row>
    <row r="184" spans="1:5" x14ac:dyDescent="0.25">
      <c r="A184" s="4" t="s">
        <v>176</v>
      </c>
      <c r="B184" s="5">
        <v>0</v>
      </c>
      <c r="C184" s="5">
        <v>0</v>
      </c>
      <c r="D184" s="5">
        <v>0</v>
      </c>
      <c r="E184" s="5">
        <v>0</v>
      </c>
    </row>
    <row r="185" spans="1:5" x14ac:dyDescent="0.25">
      <c r="A185" s="4" t="s">
        <v>177</v>
      </c>
      <c r="B185" s="5">
        <v>18109</v>
      </c>
      <c r="C185" s="5">
        <v>18474</v>
      </c>
      <c r="D185" s="5">
        <v>19528</v>
      </c>
      <c r="E185" s="5">
        <v>19711</v>
      </c>
    </row>
    <row r="186" spans="1:5" x14ac:dyDescent="0.25">
      <c r="A186" s="4" t="s">
        <v>178</v>
      </c>
      <c r="B186" s="5">
        <v>144.69</v>
      </c>
      <c r="C186" s="5">
        <v>141.79</v>
      </c>
      <c r="D186" s="5">
        <v>157.65</v>
      </c>
      <c r="E186" s="5">
        <v>90.35</v>
      </c>
    </row>
    <row r="187" spans="1:5" x14ac:dyDescent="0.25">
      <c r="A187" s="4" t="s">
        <v>179</v>
      </c>
      <c r="B187" s="5">
        <v>152.57</v>
      </c>
      <c r="C187" s="5">
        <v>160.77000000000001</v>
      </c>
      <c r="D187" s="5">
        <v>169.94</v>
      </c>
      <c r="E187" s="5">
        <v>96.18</v>
      </c>
    </row>
    <row r="188" spans="1:5" x14ac:dyDescent="0.25">
      <c r="A188" s="4" t="s">
        <v>180</v>
      </c>
      <c r="B188" s="5">
        <v>126.28</v>
      </c>
      <c r="C188" s="5">
        <v>117.27</v>
      </c>
      <c r="D188" s="5">
        <v>136.09</v>
      </c>
      <c r="E188" s="5">
        <v>51.866666666667001</v>
      </c>
    </row>
    <row r="189" spans="1:5" x14ac:dyDescent="0.25">
      <c r="A189" s="4" t="s">
        <v>181</v>
      </c>
      <c r="B189" s="5">
        <v>139.81</v>
      </c>
      <c r="C189" s="5">
        <v>143.87</v>
      </c>
      <c r="D189" s="5">
        <v>165.25</v>
      </c>
      <c r="E189" s="5">
        <v>98.16</v>
      </c>
    </row>
    <row r="190" spans="1:5" x14ac:dyDescent="0.25">
      <c r="A190" s="4" t="s">
        <v>182</v>
      </c>
      <c r="B190" s="4" t="s">
        <v>18</v>
      </c>
      <c r="C190" s="4" t="s">
        <v>18</v>
      </c>
      <c r="D190" s="4" t="s">
        <v>18</v>
      </c>
      <c r="E190" s="4" t="s">
        <v>18</v>
      </c>
    </row>
    <row r="191" spans="1:5" x14ac:dyDescent="0.25">
      <c r="A191" s="4" t="s">
        <v>183</v>
      </c>
      <c r="B191" s="5">
        <v>2164</v>
      </c>
      <c r="C191" s="5">
        <v>2166</v>
      </c>
      <c r="D191" s="5">
        <v>2181</v>
      </c>
      <c r="E191" s="5">
        <v>2160</v>
      </c>
    </row>
    <row r="192" spans="1:5" x14ac:dyDescent="0.25">
      <c r="A192" s="4" t="s">
        <v>184</v>
      </c>
      <c r="B192" s="5">
        <v>2040</v>
      </c>
      <c r="C192" s="5">
        <v>2077</v>
      </c>
      <c r="D192" s="5">
        <v>2107</v>
      </c>
      <c r="E192" s="5">
        <v>2111</v>
      </c>
    </row>
    <row r="193" spans="1:5" x14ac:dyDescent="0.25">
      <c r="A193" s="4" t="s">
        <v>185</v>
      </c>
      <c r="B193" s="5">
        <v>1876</v>
      </c>
      <c r="C193" s="5">
        <v>1917</v>
      </c>
      <c r="D193" s="5">
        <v>1970</v>
      </c>
      <c r="E193" s="5">
        <v>1986</v>
      </c>
    </row>
    <row r="194" spans="1:5" x14ac:dyDescent="0.25">
      <c r="A194" s="4" t="s">
        <v>186</v>
      </c>
      <c r="B194" s="5">
        <v>1713</v>
      </c>
      <c r="C194" s="5">
        <v>1735</v>
      </c>
      <c r="D194" s="5">
        <v>1815</v>
      </c>
      <c r="E194" s="5">
        <v>1835</v>
      </c>
    </row>
    <row r="195" spans="1:5" x14ac:dyDescent="0.25">
      <c r="A195" s="4" t="s">
        <v>187</v>
      </c>
      <c r="B195" s="5">
        <v>1551</v>
      </c>
      <c r="C195" s="5">
        <v>1556</v>
      </c>
      <c r="D195" s="5">
        <v>1645</v>
      </c>
      <c r="E195" s="5">
        <v>1674</v>
      </c>
    </row>
    <row r="196" spans="1:5" x14ac:dyDescent="0.25">
      <c r="A196" s="4" t="s">
        <v>188</v>
      </c>
      <c r="B196" s="5">
        <v>3097</v>
      </c>
      <c r="C196" s="5">
        <v>3205</v>
      </c>
      <c r="D196" s="5">
        <v>3359</v>
      </c>
      <c r="E196" s="5">
        <v>3492</v>
      </c>
    </row>
    <row r="197" spans="1:5" x14ac:dyDescent="0.25">
      <c r="A197" s="4" t="s">
        <v>189</v>
      </c>
      <c r="B197" s="4" t="s">
        <v>18</v>
      </c>
      <c r="C197" s="4" t="s">
        <v>18</v>
      </c>
      <c r="D197" s="4" t="s">
        <v>18</v>
      </c>
      <c r="E197" s="4" t="s">
        <v>18</v>
      </c>
    </row>
    <row r="198" spans="1:5" x14ac:dyDescent="0.25">
      <c r="A198" s="4" t="s">
        <v>190</v>
      </c>
      <c r="B198" s="5">
        <v>0</v>
      </c>
      <c r="C198" s="5">
        <v>0</v>
      </c>
      <c r="D198" s="5">
        <v>0</v>
      </c>
      <c r="E198" s="5">
        <v>0</v>
      </c>
    </row>
    <row r="199" spans="1:5" x14ac:dyDescent="0.25">
      <c r="A199" s="4" t="s">
        <v>191</v>
      </c>
      <c r="B199" s="4" t="s">
        <v>18</v>
      </c>
      <c r="C199" s="4" t="s">
        <v>18</v>
      </c>
      <c r="D199" s="4" t="s">
        <v>18</v>
      </c>
      <c r="E199" s="4" t="s">
        <v>18</v>
      </c>
    </row>
    <row r="200" spans="1:5" x14ac:dyDescent="0.25">
      <c r="A200" s="4" t="s">
        <v>192</v>
      </c>
      <c r="B200" s="5">
        <v>0</v>
      </c>
      <c r="C200" s="5">
        <v>0</v>
      </c>
      <c r="D200" s="5">
        <v>0</v>
      </c>
      <c r="E200" s="5">
        <v>0</v>
      </c>
    </row>
    <row r="201" spans="1:5" x14ac:dyDescent="0.25">
      <c r="A201" s="4" t="s">
        <v>193</v>
      </c>
      <c r="B201" s="5">
        <v>0</v>
      </c>
      <c r="C201" s="5">
        <v>0</v>
      </c>
      <c r="D201" s="5">
        <v>0</v>
      </c>
      <c r="E201" s="5">
        <v>0</v>
      </c>
    </row>
    <row r="202" spans="1:5" x14ac:dyDescent="0.25">
      <c r="A202" s="4" t="s">
        <v>194</v>
      </c>
      <c r="B202" s="5">
        <v>0</v>
      </c>
      <c r="C202" s="5">
        <v>0</v>
      </c>
      <c r="D202" s="5">
        <v>0</v>
      </c>
      <c r="E202" s="5">
        <v>0</v>
      </c>
    </row>
    <row r="203" spans="1:5" x14ac:dyDescent="0.25">
      <c r="A203" s="1"/>
    </row>
    <row r="204" spans="1:5" x14ac:dyDescent="0.25">
      <c r="A204" s="3" t="s">
        <v>195</v>
      </c>
    </row>
    <row r="205" spans="1:5" x14ac:dyDescent="0.25">
      <c r="A205" s="4" t="s">
        <v>196</v>
      </c>
      <c r="B205" s="5">
        <v>8280</v>
      </c>
      <c r="C205" s="5">
        <v>7933</v>
      </c>
      <c r="D205" s="5">
        <v>8796</v>
      </c>
      <c r="E205" s="5">
        <v>9975</v>
      </c>
    </row>
    <row r="206" spans="1:5" x14ac:dyDescent="0.25">
      <c r="A206" s="4" t="s">
        <v>197</v>
      </c>
      <c r="B206" s="5">
        <v>0</v>
      </c>
      <c r="C206" s="5">
        <v>0</v>
      </c>
      <c r="D206" s="5">
        <v>0</v>
      </c>
      <c r="E206" s="5">
        <v>0</v>
      </c>
    </row>
    <row r="207" spans="1:5" x14ac:dyDescent="0.25">
      <c r="A207" s="4" t="s">
        <v>198</v>
      </c>
      <c r="B207" s="5">
        <v>0</v>
      </c>
      <c r="C207" s="5">
        <v>0</v>
      </c>
      <c r="D207" s="5">
        <v>0</v>
      </c>
      <c r="E207" s="5">
        <v>0</v>
      </c>
    </row>
    <row r="208" spans="1:5" x14ac:dyDescent="0.25">
      <c r="A208" s="4" t="s">
        <v>199</v>
      </c>
      <c r="B208" s="5">
        <v>8280</v>
      </c>
      <c r="C208" s="5">
        <v>7933</v>
      </c>
      <c r="D208" s="5">
        <v>8796</v>
      </c>
      <c r="E208" s="5">
        <v>9975</v>
      </c>
    </row>
    <row r="209" spans="1:5" x14ac:dyDescent="0.25">
      <c r="A209" s="4" t="s">
        <v>200</v>
      </c>
      <c r="B209" s="4" t="s">
        <v>18</v>
      </c>
      <c r="C209" s="4" t="s">
        <v>18</v>
      </c>
      <c r="D209" s="4" t="s">
        <v>18</v>
      </c>
      <c r="E209" s="4" t="s">
        <v>18</v>
      </c>
    </row>
    <row r="210" spans="1:5" x14ac:dyDescent="0.25">
      <c r="A210" s="4" t="s">
        <v>201</v>
      </c>
      <c r="B210" s="4" t="s">
        <v>18</v>
      </c>
      <c r="C210" s="4" t="s">
        <v>18</v>
      </c>
      <c r="D210" s="4" t="s">
        <v>18</v>
      </c>
      <c r="E210" s="4" t="s">
        <v>18</v>
      </c>
    </row>
    <row r="211" spans="1:5" x14ac:dyDescent="0.25">
      <c r="A211" s="4" t="s">
        <v>202</v>
      </c>
      <c r="B211" s="4" t="s">
        <v>18</v>
      </c>
      <c r="C211" s="4" t="s">
        <v>18</v>
      </c>
      <c r="D211" s="4" t="s">
        <v>18</v>
      </c>
      <c r="E211" s="4" t="s">
        <v>18</v>
      </c>
    </row>
    <row r="212" spans="1:5" x14ac:dyDescent="0.25">
      <c r="A212" s="4" t="s">
        <v>203</v>
      </c>
      <c r="B212" s="4" t="s">
        <v>18</v>
      </c>
      <c r="C212" s="4" t="s">
        <v>18</v>
      </c>
      <c r="D212" s="4" t="s">
        <v>18</v>
      </c>
      <c r="E212" s="4" t="s">
        <v>18</v>
      </c>
    </row>
    <row r="213" spans="1:5" x14ac:dyDescent="0.25">
      <c r="A213" s="4" t="s">
        <v>11</v>
      </c>
      <c r="B213" s="5">
        <v>56511</v>
      </c>
      <c r="C213" s="5">
        <v>56576</v>
      </c>
      <c r="D213" s="5">
        <v>54892</v>
      </c>
      <c r="E213" s="5">
        <v>56435</v>
      </c>
    </row>
    <row r="214" spans="1:5" x14ac:dyDescent="0.25">
      <c r="A214" s="4" t="s">
        <v>204</v>
      </c>
      <c r="B214" s="5">
        <v>0</v>
      </c>
      <c r="C214" s="5">
        <v>0</v>
      </c>
      <c r="D214" s="5">
        <v>0</v>
      </c>
      <c r="E214" s="5">
        <v>0</v>
      </c>
    </row>
    <row r="215" spans="1:5" x14ac:dyDescent="0.25">
      <c r="A215" s="4" t="s">
        <v>205</v>
      </c>
      <c r="B215" s="5">
        <v>0</v>
      </c>
      <c r="C215" s="5">
        <v>0</v>
      </c>
      <c r="D215" s="5">
        <v>0</v>
      </c>
      <c r="E215" s="5">
        <v>0</v>
      </c>
    </row>
    <row r="216" spans="1:5" x14ac:dyDescent="0.25">
      <c r="A216" s="4" t="s">
        <v>206</v>
      </c>
      <c r="B216" s="5">
        <v>0</v>
      </c>
      <c r="C216" s="5">
        <v>0</v>
      </c>
      <c r="D216" s="5">
        <v>0</v>
      </c>
      <c r="E216" s="5">
        <v>0</v>
      </c>
    </row>
    <row r="217" spans="1:5" x14ac:dyDescent="0.25">
      <c r="A217" s="4" t="s">
        <v>207</v>
      </c>
      <c r="B217" s="5">
        <v>0</v>
      </c>
      <c r="C217" s="5">
        <v>0</v>
      </c>
      <c r="D217" s="5">
        <v>0</v>
      </c>
      <c r="E217" s="5">
        <v>0</v>
      </c>
    </row>
    <row r="218" spans="1:5" x14ac:dyDescent="0.25">
      <c r="A218" s="4" t="s">
        <v>208</v>
      </c>
      <c r="B218" s="5">
        <v>34864</v>
      </c>
      <c r="C218" s="5">
        <v>34649</v>
      </c>
      <c r="D218" s="5">
        <v>36132</v>
      </c>
      <c r="E218" s="5">
        <v>33401</v>
      </c>
    </row>
    <row r="219" spans="1:5" x14ac:dyDescent="0.25">
      <c r="A219" s="4" t="s">
        <v>209</v>
      </c>
      <c r="B219" s="5">
        <v>0</v>
      </c>
      <c r="C219" s="5">
        <v>0</v>
      </c>
      <c r="D219" s="5">
        <v>0</v>
      </c>
      <c r="E219" s="5">
        <v>0</v>
      </c>
    </row>
    <row r="220" spans="1:5" x14ac:dyDescent="0.25">
      <c r="A220" s="4" t="s">
        <v>210</v>
      </c>
      <c r="B220" s="5">
        <v>13009</v>
      </c>
      <c r="C220" s="5">
        <v>12828</v>
      </c>
      <c r="D220" s="5">
        <v>12943</v>
      </c>
      <c r="E220" s="5">
        <v>12825</v>
      </c>
    </row>
    <row r="221" spans="1:5" x14ac:dyDescent="0.25">
      <c r="A221" s="4" t="s">
        <v>211</v>
      </c>
      <c r="B221" s="5">
        <v>4243</v>
      </c>
      <c r="C221" s="5">
        <v>4843</v>
      </c>
      <c r="D221" s="5">
        <v>5709</v>
      </c>
      <c r="E221" s="5">
        <v>5923</v>
      </c>
    </row>
    <row r="222" spans="1:5" x14ac:dyDescent="0.25">
      <c r="A222" s="4" t="s">
        <v>212</v>
      </c>
      <c r="B222" s="5">
        <v>52116</v>
      </c>
      <c r="C222" s="5">
        <v>52320</v>
      </c>
      <c r="D222" s="5">
        <v>54784</v>
      </c>
      <c r="E222" s="5">
        <v>52149</v>
      </c>
    </row>
    <row r="223" spans="1:5" x14ac:dyDescent="0.25">
      <c r="A223" s="1" t="s">
        <v>213</v>
      </c>
    </row>
    <row r="224" spans="1:5" x14ac:dyDescent="0.25">
      <c r="A224" s="4" t="s">
        <v>214</v>
      </c>
      <c r="B224" s="4" t="s">
        <v>18</v>
      </c>
      <c r="C224" s="4" t="s">
        <v>18</v>
      </c>
      <c r="D224" s="4" t="s">
        <v>18</v>
      </c>
      <c r="E224" s="4" t="s">
        <v>18</v>
      </c>
    </row>
    <row r="225" spans="1:5" x14ac:dyDescent="0.25">
      <c r="A225" s="4" t="s">
        <v>123</v>
      </c>
      <c r="B225" s="5">
        <v>13106</v>
      </c>
      <c r="C225" s="5">
        <v>16857</v>
      </c>
      <c r="D225" s="5">
        <v>20606</v>
      </c>
      <c r="E225" s="5">
        <v>23783</v>
      </c>
    </row>
    <row r="226" spans="1:5" x14ac:dyDescent="0.25">
      <c r="A226" s="4" t="s">
        <v>215</v>
      </c>
      <c r="B226" s="4" t="s">
        <v>18</v>
      </c>
      <c r="C226" s="4" t="s">
        <v>18</v>
      </c>
      <c r="D226" s="4" t="s">
        <v>18</v>
      </c>
      <c r="E226" s="4" t="s">
        <v>18</v>
      </c>
    </row>
    <row r="227" spans="1:5" x14ac:dyDescent="0.25">
      <c r="A227" s="4" t="s">
        <v>216</v>
      </c>
      <c r="B227" s="4" t="s">
        <v>18</v>
      </c>
      <c r="C227" s="4" t="s">
        <v>18</v>
      </c>
      <c r="D227" s="4" t="s">
        <v>18</v>
      </c>
      <c r="E227" s="4" t="s">
        <v>18</v>
      </c>
    </row>
    <row r="228" spans="1:5" x14ac:dyDescent="0.25">
      <c r="A228" s="4" t="s">
        <v>217</v>
      </c>
      <c r="B228" s="5">
        <v>207433</v>
      </c>
      <c r="C228" s="5">
        <v>220844</v>
      </c>
      <c r="D228" s="5">
        <v>239387</v>
      </c>
      <c r="E228" s="5">
        <v>251328</v>
      </c>
    </row>
    <row r="229" spans="1:5" x14ac:dyDescent="0.25">
      <c r="A229" s="1" t="s">
        <v>218</v>
      </c>
    </row>
    <row r="230" spans="1:5" x14ac:dyDescent="0.25">
      <c r="A230" s="4" t="s">
        <v>214</v>
      </c>
      <c r="B230" s="4" t="s">
        <v>18</v>
      </c>
      <c r="C230" s="4" t="s">
        <v>18</v>
      </c>
      <c r="D230" s="4" t="s">
        <v>18</v>
      </c>
      <c r="E230" s="4" t="s">
        <v>18</v>
      </c>
    </row>
    <row r="231" spans="1:5" x14ac:dyDescent="0.25">
      <c r="A231" s="4" t="s">
        <v>219</v>
      </c>
      <c r="B231" s="4" t="s">
        <v>18</v>
      </c>
      <c r="C231" s="4" t="s">
        <v>18</v>
      </c>
      <c r="D231" s="4" t="s">
        <v>18</v>
      </c>
      <c r="E231" s="4" t="s">
        <v>18</v>
      </c>
    </row>
    <row r="232" spans="1:5" x14ac:dyDescent="0.25">
      <c r="A232" s="4" t="s">
        <v>220</v>
      </c>
      <c r="B232" s="4" t="s">
        <v>18</v>
      </c>
      <c r="C232" s="4" t="s">
        <v>18</v>
      </c>
      <c r="D232" s="4" t="s">
        <v>18</v>
      </c>
      <c r="E232" s="4" t="s">
        <v>18</v>
      </c>
    </row>
    <row r="233" spans="1:5" x14ac:dyDescent="0.25">
      <c r="A233" s="4" t="s">
        <v>215</v>
      </c>
      <c r="B233" s="4" t="s">
        <v>18</v>
      </c>
      <c r="C233" s="4" t="s">
        <v>18</v>
      </c>
      <c r="D233" s="4" t="s">
        <v>18</v>
      </c>
      <c r="E233" s="4" t="s">
        <v>18</v>
      </c>
    </row>
    <row r="234" spans="1:5" x14ac:dyDescent="0.25">
      <c r="A234" s="4" t="s">
        <v>216</v>
      </c>
      <c r="B234" s="4" t="s">
        <v>18</v>
      </c>
      <c r="C234" s="4" t="s">
        <v>18</v>
      </c>
      <c r="D234" s="4" t="s">
        <v>18</v>
      </c>
      <c r="E234" s="4" t="s">
        <v>18</v>
      </c>
    </row>
    <row r="235" spans="1:5" x14ac:dyDescent="0.25">
      <c r="A235" s="4" t="s">
        <v>217</v>
      </c>
      <c r="B235" s="5">
        <v>94809</v>
      </c>
      <c r="C235" s="5">
        <v>101610</v>
      </c>
      <c r="D235" s="5">
        <v>109049</v>
      </c>
      <c r="E235" s="5">
        <v>111624</v>
      </c>
    </row>
    <row r="236" spans="1:5" x14ac:dyDescent="0.25">
      <c r="A236" s="4" t="s">
        <v>221</v>
      </c>
      <c r="B236" s="5">
        <v>-671</v>
      </c>
      <c r="C236" s="5">
        <v>608</v>
      </c>
      <c r="D236" s="5">
        <v>-438</v>
      </c>
      <c r="E236" s="5">
        <v>-214</v>
      </c>
    </row>
    <row r="237" spans="1:5" x14ac:dyDescent="0.25">
      <c r="A237" s="4" t="s">
        <v>222</v>
      </c>
      <c r="B237" s="5">
        <v>-129</v>
      </c>
      <c r="C237" s="5">
        <v>-297</v>
      </c>
      <c r="D237" s="5">
        <v>126</v>
      </c>
      <c r="E237" s="5">
        <v>-479</v>
      </c>
    </row>
    <row r="238" spans="1:5" x14ac:dyDescent="0.25">
      <c r="A238" s="4" t="s">
        <v>223</v>
      </c>
      <c r="B238" s="5">
        <v>41</v>
      </c>
      <c r="C238" s="5">
        <v>119</v>
      </c>
      <c r="D238" s="5">
        <v>141</v>
      </c>
      <c r="E238" s="5">
        <v>30</v>
      </c>
    </row>
    <row r="239" spans="1:5" x14ac:dyDescent="0.25">
      <c r="A239" s="4" t="s">
        <v>224</v>
      </c>
      <c r="B239" s="5">
        <v>3313</v>
      </c>
      <c r="C239" s="5">
        <v>2030</v>
      </c>
      <c r="D239" s="5">
        <v>3215</v>
      </c>
      <c r="E239" s="5">
        <v>3478</v>
      </c>
    </row>
    <row r="240" spans="1:5" x14ac:dyDescent="0.25">
      <c r="A240" s="4" t="s">
        <v>225</v>
      </c>
      <c r="B240" s="5">
        <v>1553</v>
      </c>
      <c r="C240" s="5">
        <v>2654</v>
      </c>
      <c r="D240" s="5">
        <v>1772</v>
      </c>
      <c r="E240" s="5">
        <v>2451</v>
      </c>
    </row>
    <row r="241" spans="1:5" x14ac:dyDescent="0.25">
      <c r="A241" s="4" t="s">
        <v>226</v>
      </c>
      <c r="B241" s="5">
        <v>649</v>
      </c>
      <c r="C241" s="5">
        <v>610</v>
      </c>
      <c r="D241" s="5">
        <v>762</v>
      </c>
      <c r="E241" s="5">
        <v>886</v>
      </c>
    </row>
    <row r="242" spans="1:5" x14ac:dyDescent="0.25">
      <c r="A242" s="4" t="s">
        <v>227</v>
      </c>
      <c r="B242" s="5">
        <v>0</v>
      </c>
      <c r="C242" s="5">
        <v>0</v>
      </c>
      <c r="D242" s="5">
        <v>0</v>
      </c>
      <c r="E242" s="5">
        <v>0</v>
      </c>
    </row>
    <row r="243" spans="1:5" x14ac:dyDescent="0.25">
      <c r="A243" s="4" t="s">
        <v>87</v>
      </c>
      <c r="B243" s="5">
        <v>4756</v>
      </c>
      <c r="C243" s="5">
        <v>5724</v>
      </c>
      <c r="D243" s="5">
        <v>5578</v>
      </c>
      <c r="E243" s="5">
        <v>6152</v>
      </c>
    </row>
    <row r="244" spans="1:5" x14ac:dyDescent="0.25">
      <c r="A244" s="1" t="s">
        <v>228</v>
      </c>
    </row>
    <row r="245" spans="1:5" x14ac:dyDescent="0.25">
      <c r="A245" s="4" t="s">
        <v>229</v>
      </c>
      <c r="B245" s="4" t="s">
        <v>18</v>
      </c>
      <c r="C245" s="4" t="s">
        <v>18</v>
      </c>
      <c r="D245" s="4" t="s">
        <v>18</v>
      </c>
      <c r="E245" s="4" t="s">
        <v>18</v>
      </c>
    </row>
    <row r="246" spans="1:5" x14ac:dyDescent="0.25">
      <c r="A246" s="4" t="s">
        <v>230</v>
      </c>
      <c r="B246" s="4" t="s">
        <v>18</v>
      </c>
      <c r="C246" s="4" t="s">
        <v>18</v>
      </c>
      <c r="D246" s="4" t="s">
        <v>18</v>
      </c>
      <c r="E246" s="4" t="s">
        <v>18</v>
      </c>
    </row>
    <row r="247" spans="1:5" x14ac:dyDescent="0.25">
      <c r="A247" s="4" t="s">
        <v>231</v>
      </c>
      <c r="B247" s="4" t="s">
        <v>18</v>
      </c>
      <c r="C247" s="4" t="s">
        <v>18</v>
      </c>
      <c r="D247" s="4" t="s">
        <v>18</v>
      </c>
      <c r="E247" s="4" t="s">
        <v>18</v>
      </c>
    </row>
    <row r="248" spans="1:5" x14ac:dyDescent="0.25">
      <c r="A248" s="4" t="s">
        <v>232</v>
      </c>
      <c r="B248" s="4" t="s">
        <v>18</v>
      </c>
      <c r="C248" s="4" t="s">
        <v>18</v>
      </c>
      <c r="D248" s="4" t="s">
        <v>18</v>
      </c>
      <c r="E248" s="4" t="s">
        <v>18</v>
      </c>
    </row>
    <row r="249" spans="1:5" x14ac:dyDescent="0.25">
      <c r="A249" s="4" t="s">
        <v>233</v>
      </c>
      <c r="B249" s="4" t="s">
        <v>18</v>
      </c>
      <c r="C249" s="4" t="s">
        <v>18</v>
      </c>
      <c r="D249" s="4" t="s">
        <v>18</v>
      </c>
      <c r="E249" s="4" t="s">
        <v>18</v>
      </c>
    </row>
    <row r="250" spans="1:5" x14ac:dyDescent="0.25">
      <c r="A250" s="1"/>
    </row>
    <row r="251" spans="1:5" x14ac:dyDescent="0.25">
      <c r="A251" s="3" t="s">
        <v>234</v>
      </c>
    </row>
    <row r="252" spans="1:5" x14ac:dyDescent="0.25">
      <c r="A252" s="4" t="s">
        <v>235</v>
      </c>
      <c r="B252" s="5">
        <v>14760</v>
      </c>
      <c r="C252" s="5">
        <v>8625</v>
      </c>
      <c r="D252" s="5">
        <v>9867</v>
      </c>
      <c r="E252" s="5">
        <v>9037</v>
      </c>
    </row>
    <row r="253" spans="1:5" x14ac:dyDescent="0.25">
      <c r="A253" s="4" t="s">
        <v>199</v>
      </c>
      <c r="B253" s="5">
        <v>8280</v>
      </c>
      <c r="C253" s="5">
        <v>7933</v>
      </c>
      <c r="D253" s="5">
        <v>8796</v>
      </c>
      <c r="E253" s="5">
        <v>9975</v>
      </c>
    </row>
    <row r="254" spans="1:5" x14ac:dyDescent="0.25">
      <c r="A254" s="4" t="s">
        <v>11</v>
      </c>
      <c r="B254" s="5">
        <v>56511</v>
      </c>
      <c r="C254" s="5">
        <v>56576</v>
      </c>
      <c r="D254" s="5">
        <v>54892</v>
      </c>
      <c r="E254" s="5">
        <v>56435</v>
      </c>
    </row>
    <row r="255" spans="1:5" x14ac:dyDescent="0.25">
      <c r="A255" s="4" t="s">
        <v>236</v>
      </c>
      <c r="B255" s="4" t="s">
        <v>18</v>
      </c>
      <c r="C255" s="4" t="s">
        <v>18</v>
      </c>
      <c r="D255" s="4" t="s">
        <v>18</v>
      </c>
      <c r="E255" s="4" t="s">
        <v>18</v>
      </c>
    </row>
    <row r="256" spans="1:5" x14ac:dyDescent="0.25">
      <c r="A256" s="4" t="s">
        <v>16</v>
      </c>
      <c r="B256" s="5">
        <v>1519</v>
      </c>
      <c r="C256" s="5">
        <v>2521</v>
      </c>
      <c r="D256" s="5">
        <v>3322</v>
      </c>
      <c r="E256" s="5">
        <v>4011</v>
      </c>
    </row>
    <row r="257" spans="1:5" x14ac:dyDescent="0.25">
      <c r="A257" s="4" t="s">
        <v>20</v>
      </c>
      <c r="B257" s="5">
        <v>81070</v>
      </c>
      <c r="C257" s="5">
        <v>75655</v>
      </c>
      <c r="D257" s="5">
        <v>76877</v>
      </c>
      <c r="E257" s="5">
        <v>79458</v>
      </c>
    </row>
    <row r="258" spans="1:5" x14ac:dyDescent="0.25">
      <c r="A258" s="4" t="s">
        <v>237</v>
      </c>
      <c r="B258" s="5">
        <v>207433</v>
      </c>
      <c r="C258" s="5">
        <v>220844</v>
      </c>
      <c r="D258" s="5">
        <v>239387</v>
      </c>
      <c r="E258" s="5">
        <v>251328</v>
      </c>
    </row>
    <row r="259" spans="1:5" x14ac:dyDescent="0.25">
      <c r="A259" s="4" t="s">
        <v>238</v>
      </c>
      <c r="B259" s="5">
        <v>94809</v>
      </c>
      <c r="C259" s="5">
        <v>101610</v>
      </c>
      <c r="D259" s="5">
        <v>109049</v>
      </c>
      <c r="E259" s="5">
        <v>111624</v>
      </c>
    </row>
    <row r="260" spans="1:5" x14ac:dyDescent="0.25">
      <c r="A260" s="4" t="s">
        <v>239</v>
      </c>
      <c r="B260" s="5">
        <v>112624</v>
      </c>
      <c r="C260" s="5">
        <v>119234</v>
      </c>
      <c r="D260" s="5">
        <v>130338</v>
      </c>
      <c r="E260" s="5">
        <v>139704</v>
      </c>
    </row>
    <row r="261" spans="1:5" x14ac:dyDescent="0.25">
      <c r="A261" s="4" t="s">
        <v>240</v>
      </c>
      <c r="B261" s="4" t="s">
        <v>18</v>
      </c>
      <c r="C261" s="4" t="s">
        <v>18</v>
      </c>
      <c r="D261" s="4" t="s">
        <v>18</v>
      </c>
      <c r="E261" s="4" t="s">
        <v>18</v>
      </c>
    </row>
    <row r="262" spans="1:5" x14ac:dyDescent="0.25">
      <c r="A262" s="4" t="s">
        <v>241</v>
      </c>
      <c r="B262" s="5">
        <v>12888</v>
      </c>
      <c r="C262" s="5">
        <v>11169</v>
      </c>
      <c r="D262" s="5">
        <v>8449</v>
      </c>
      <c r="E262" s="5">
        <v>4241</v>
      </c>
    </row>
    <row r="263" spans="1:5" x14ac:dyDescent="0.25">
      <c r="A263" s="4" t="s">
        <v>26</v>
      </c>
      <c r="B263" s="5">
        <v>33814</v>
      </c>
      <c r="C263" s="5">
        <v>32474</v>
      </c>
      <c r="D263" s="5">
        <v>32213</v>
      </c>
      <c r="E263" s="5">
        <v>33292</v>
      </c>
    </row>
    <row r="264" spans="1:5" x14ac:dyDescent="0.25">
      <c r="A264" s="4" t="s">
        <v>242</v>
      </c>
      <c r="B264" s="4" t="s">
        <v>18</v>
      </c>
      <c r="C264" s="4" t="s">
        <v>18</v>
      </c>
      <c r="D264" s="4" t="s">
        <v>18</v>
      </c>
      <c r="E264" s="4" t="s">
        <v>18</v>
      </c>
    </row>
    <row r="265" spans="1:5" x14ac:dyDescent="0.25">
      <c r="A265" s="4" t="s">
        <v>27</v>
      </c>
      <c r="B265" s="5">
        <v>4464</v>
      </c>
      <c r="C265" s="5">
        <v>4665</v>
      </c>
      <c r="D265" s="5">
        <v>4522</v>
      </c>
      <c r="E265" s="5">
        <v>4128</v>
      </c>
    </row>
    <row r="266" spans="1:5" x14ac:dyDescent="0.25">
      <c r="A266" s="4" t="s">
        <v>243</v>
      </c>
      <c r="B266" s="5">
        <v>244860</v>
      </c>
      <c r="C266" s="5">
        <v>243197</v>
      </c>
      <c r="D266" s="5">
        <v>252399</v>
      </c>
      <c r="E266" s="5">
        <v>260823</v>
      </c>
    </row>
    <row r="267" spans="1:5" x14ac:dyDescent="0.25">
      <c r="A267" s="4" t="s">
        <v>35</v>
      </c>
      <c r="B267" s="5">
        <v>55261</v>
      </c>
      <c r="C267" s="5">
        <v>53742</v>
      </c>
      <c r="D267" s="5">
        <v>56812</v>
      </c>
      <c r="E267" s="5">
        <v>58666</v>
      </c>
    </row>
    <row r="268" spans="1:5" x14ac:dyDescent="0.25">
      <c r="A268" s="4" t="s">
        <v>244</v>
      </c>
      <c r="B268" s="5">
        <v>410</v>
      </c>
      <c r="C268" s="5">
        <v>372</v>
      </c>
      <c r="D268" s="5">
        <v>878</v>
      </c>
      <c r="E268" s="5">
        <v>3068</v>
      </c>
    </row>
    <row r="269" spans="1:5" x14ac:dyDescent="0.25">
      <c r="A269" s="4" t="s">
        <v>245</v>
      </c>
      <c r="B269" s="5">
        <v>23480</v>
      </c>
      <c r="C269" s="5">
        <v>25689</v>
      </c>
      <c r="D269" s="5">
        <v>26095</v>
      </c>
      <c r="E269" s="5">
        <v>26590</v>
      </c>
    </row>
    <row r="270" spans="1:5" x14ac:dyDescent="0.25">
      <c r="A270" s="4" t="s">
        <v>246</v>
      </c>
      <c r="B270" s="5">
        <v>851</v>
      </c>
      <c r="C270" s="5">
        <v>727</v>
      </c>
      <c r="D270" s="5">
        <v>307</v>
      </c>
      <c r="E270" s="5">
        <v>608</v>
      </c>
    </row>
    <row r="271" spans="1:5" x14ac:dyDescent="0.25">
      <c r="A271" s="4" t="s">
        <v>247</v>
      </c>
      <c r="B271" s="5">
        <v>4797</v>
      </c>
      <c r="C271" s="5">
        <v>6231</v>
      </c>
      <c r="D271" s="5">
        <v>5659</v>
      </c>
      <c r="E271" s="5">
        <v>4897</v>
      </c>
    </row>
    <row r="272" spans="1:5" x14ac:dyDescent="0.25">
      <c r="A272" s="4" t="s">
        <v>248</v>
      </c>
      <c r="B272" s="5">
        <v>26060</v>
      </c>
      <c r="C272" s="5">
        <v>31126</v>
      </c>
      <c r="D272" s="5">
        <v>28759</v>
      </c>
      <c r="E272" s="5">
        <v>29345</v>
      </c>
    </row>
    <row r="273" spans="1:5" x14ac:dyDescent="0.25">
      <c r="A273" s="4" t="s">
        <v>249</v>
      </c>
      <c r="B273" s="5">
        <v>87379</v>
      </c>
      <c r="C273" s="5">
        <v>92198</v>
      </c>
      <c r="D273" s="5">
        <v>92415</v>
      </c>
      <c r="E273" s="5">
        <v>96584</v>
      </c>
    </row>
    <row r="274" spans="1:5" x14ac:dyDescent="0.25">
      <c r="A274" s="4" t="s">
        <v>250</v>
      </c>
      <c r="B274" s="5">
        <v>52116</v>
      </c>
      <c r="C274" s="5">
        <v>52320</v>
      </c>
      <c r="D274" s="5">
        <v>54784</v>
      </c>
      <c r="E274" s="5">
        <v>52149</v>
      </c>
    </row>
    <row r="275" spans="1:5" x14ac:dyDescent="0.25">
      <c r="A275" s="4" t="s">
        <v>251</v>
      </c>
      <c r="B275" s="5">
        <v>6917</v>
      </c>
      <c r="C275" s="5">
        <v>7269</v>
      </c>
      <c r="D275" s="5">
        <v>7248</v>
      </c>
      <c r="E275" s="5">
        <v>7019</v>
      </c>
    </row>
    <row r="276" spans="1:5" x14ac:dyDescent="0.25">
      <c r="A276" s="4" t="s">
        <v>170</v>
      </c>
      <c r="B276" s="5">
        <v>0</v>
      </c>
      <c r="C276" s="5">
        <v>0</v>
      </c>
      <c r="D276" s="5">
        <v>0</v>
      </c>
      <c r="E276" s="5">
        <v>0</v>
      </c>
    </row>
    <row r="277" spans="1:5" x14ac:dyDescent="0.25">
      <c r="A277" s="4" t="s">
        <v>50</v>
      </c>
      <c r="B277" s="5">
        <v>6557</v>
      </c>
      <c r="C277" s="5">
        <v>7419</v>
      </c>
      <c r="D277" s="5">
        <v>7381</v>
      </c>
      <c r="E277" s="5">
        <v>7379</v>
      </c>
    </row>
    <row r="278" spans="1:5" x14ac:dyDescent="0.25">
      <c r="A278" s="4" t="s">
        <v>252</v>
      </c>
      <c r="B278" s="5">
        <v>152969</v>
      </c>
      <c r="C278" s="5">
        <v>159443</v>
      </c>
      <c r="D278" s="5">
        <v>162050</v>
      </c>
      <c r="E278" s="5">
        <v>163402</v>
      </c>
    </row>
    <row r="279" spans="1:5" x14ac:dyDescent="0.25">
      <c r="A279" s="4" t="s">
        <v>54</v>
      </c>
      <c r="B279" s="5">
        <v>0</v>
      </c>
      <c r="C279" s="5">
        <v>237</v>
      </c>
      <c r="D279" s="5">
        <v>222</v>
      </c>
      <c r="E279" s="5">
        <v>271</v>
      </c>
    </row>
    <row r="280" spans="1:5" x14ac:dyDescent="0.25">
      <c r="A280" s="4" t="s">
        <v>230</v>
      </c>
      <c r="B280" s="5">
        <v>0</v>
      </c>
      <c r="C280" s="5">
        <v>0</v>
      </c>
      <c r="D280" s="5">
        <v>0</v>
      </c>
      <c r="E280" s="5">
        <v>0</v>
      </c>
    </row>
    <row r="281" spans="1:5" x14ac:dyDescent="0.25">
      <c r="A281" s="4" t="s">
        <v>253</v>
      </c>
      <c r="B281" s="5">
        <v>276</v>
      </c>
      <c r="C281" s="5">
        <v>269</v>
      </c>
      <c r="D281" s="5">
        <v>268</v>
      </c>
      <c r="E281" s="5">
        <v>802</v>
      </c>
    </row>
    <row r="282" spans="1:5" x14ac:dyDescent="0.25">
      <c r="A282" s="4" t="s">
        <v>254</v>
      </c>
      <c r="B282" s="5">
        <v>4839</v>
      </c>
      <c r="C282" s="5">
        <v>4969</v>
      </c>
      <c r="D282" s="5">
        <v>5081</v>
      </c>
      <c r="E282" s="5">
        <v>5503</v>
      </c>
    </row>
    <row r="283" spans="1:5" x14ac:dyDescent="0.25">
      <c r="A283" s="4" t="s">
        <v>255</v>
      </c>
      <c r="B283" s="5">
        <v>78138</v>
      </c>
      <c r="C283" s="5">
        <v>71455</v>
      </c>
      <c r="D283" s="5">
        <v>78512</v>
      </c>
      <c r="E283" s="5">
        <v>84708</v>
      </c>
    </row>
    <row r="284" spans="1:5" x14ac:dyDescent="0.25">
      <c r="A284" s="4" t="s">
        <v>256</v>
      </c>
      <c r="B284" s="5">
        <v>0</v>
      </c>
      <c r="C284" s="5">
        <v>0</v>
      </c>
      <c r="D284" s="5">
        <v>0</v>
      </c>
      <c r="E284" s="5">
        <v>0</v>
      </c>
    </row>
    <row r="285" spans="1:5" x14ac:dyDescent="0.25">
      <c r="A285" s="4" t="s">
        <v>65</v>
      </c>
      <c r="B285" s="5">
        <v>83253</v>
      </c>
      <c r="C285" s="5">
        <v>76693</v>
      </c>
      <c r="D285" s="5">
        <v>83861</v>
      </c>
      <c r="E285" s="5">
        <v>91013</v>
      </c>
    </row>
    <row r="286" spans="1:5" x14ac:dyDescent="0.25">
      <c r="A286" s="4" t="s">
        <v>66</v>
      </c>
      <c r="B286" s="5">
        <v>8638</v>
      </c>
      <c r="C286" s="5">
        <v>7061</v>
      </c>
      <c r="D286" s="5">
        <v>6488</v>
      </c>
      <c r="E286" s="5">
        <v>6408</v>
      </c>
    </row>
    <row r="287" spans="1:5" x14ac:dyDescent="0.25">
      <c r="A287" s="4" t="s">
        <v>257</v>
      </c>
      <c r="B287" s="5">
        <v>91891</v>
      </c>
      <c r="C287" s="5">
        <v>83754</v>
      </c>
      <c r="D287" s="5">
        <v>90349</v>
      </c>
      <c r="E287" s="5">
        <v>97421</v>
      </c>
    </row>
    <row r="288" spans="1:5" x14ac:dyDescent="0.25">
      <c r="A288" s="4" t="s">
        <v>70</v>
      </c>
      <c r="B288" s="5">
        <v>569962</v>
      </c>
      <c r="C288" s="5">
        <v>608481</v>
      </c>
      <c r="D288" s="5">
        <v>645737</v>
      </c>
      <c r="E288" s="5">
        <v>680985</v>
      </c>
    </row>
    <row r="289" spans="1:5" x14ac:dyDescent="0.25">
      <c r="A289" s="4" t="s">
        <v>71</v>
      </c>
      <c r="B289" s="5">
        <v>418342</v>
      </c>
      <c r="C289" s="5">
        <v>452776</v>
      </c>
      <c r="D289" s="5">
        <v>478289</v>
      </c>
      <c r="E289" s="5">
        <v>498780</v>
      </c>
    </row>
    <row r="290" spans="1:5" x14ac:dyDescent="0.25">
      <c r="A290" s="4" t="s">
        <v>258</v>
      </c>
      <c r="B290" s="5">
        <v>0</v>
      </c>
      <c r="C290" s="5">
        <v>0</v>
      </c>
      <c r="D290" s="5">
        <v>0</v>
      </c>
      <c r="E290" s="5">
        <v>0</v>
      </c>
    </row>
    <row r="291" spans="1:5" x14ac:dyDescent="0.25">
      <c r="A291" s="4" t="s">
        <v>259</v>
      </c>
      <c r="B291" s="5">
        <v>115204</v>
      </c>
      <c r="C291" s="5">
        <v>122966</v>
      </c>
      <c r="D291" s="5">
        <v>130878</v>
      </c>
      <c r="E291" s="5">
        <v>139728</v>
      </c>
    </row>
    <row r="292" spans="1:5" x14ac:dyDescent="0.25">
      <c r="A292" s="4" t="s">
        <v>73</v>
      </c>
      <c r="B292" s="5">
        <v>36416</v>
      </c>
      <c r="C292" s="5">
        <v>32739</v>
      </c>
      <c r="D292" s="5">
        <v>36570</v>
      </c>
      <c r="E292" s="5">
        <v>42477</v>
      </c>
    </row>
    <row r="293" spans="1:5" x14ac:dyDescent="0.25">
      <c r="A293" s="4" t="s">
        <v>260</v>
      </c>
      <c r="B293" s="5">
        <v>10658</v>
      </c>
      <c r="C293" s="5">
        <v>10945</v>
      </c>
      <c r="D293" s="5">
        <v>11853</v>
      </c>
      <c r="E293" s="5">
        <v>12973</v>
      </c>
    </row>
    <row r="294" spans="1:5" x14ac:dyDescent="0.25">
      <c r="A294" s="4" t="s">
        <v>78</v>
      </c>
      <c r="B294" s="5">
        <v>25758</v>
      </c>
      <c r="C294" s="5">
        <v>21794</v>
      </c>
      <c r="D294" s="5">
        <v>24717</v>
      </c>
      <c r="E294" s="5">
        <v>29504</v>
      </c>
    </row>
    <row r="295" spans="1:5" x14ac:dyDescent="0.25">
      <c r="A295" s="4" t="s">
        <v>79</v>
      </c>
      <c r="B295" s="5">
        <v>1994</v>
      </c>
      <c r="C295" s="5">
        <v>2128</v>
      </c>
      <c r="D295" s="5">
        <v>2683</v>
      </c>
      <c r="E295" s="5">
        <v>2728</v>
      </c>
    </row>
    <row r="296" spans="1:5" x14ac:dyDescent="0.25">
      <c r="A296" s="4" t="s">
        <v>261</v>
      </c>
      <c r="B296" s="5">
        <v>383</v>
      </c>
      <c r="C296" s="5">
        <v>1124</v>
      </c>
      <c r="D296" s="5">
        <v>-93</v>
      </c>
      <c r="E296" s="5">
        <v>-311</v>
      </c>
    </row>
    <row r="297" spans="1:5" x14ac:dyDescent="0.25">
      <c r="A297" s="4" t="s">
        <v>83</v>
      </c>
      <c r="B297" s="5">
        <v>-5451</v>
      </c>
      <c r="C297" s="5">
        <v>-3774</v>
      </c>
      <c r="D297" s="5">
        <v>-93</v>
      </c>
      <c r="E297" s="5">
        <v>-156</v>
      </c>
    </row>
    <row r="298" spans="1:5" x14ac:dyDescent="0.25">
      <c r="A298" s="4" t="s">
        <v>84</v>
      </c>
      <c r="B298" s="5">
        <v>18696</v>
      </c>
      <c r="C298" s="5">
        <v>17016</v>
      </c>
      <c r="D298" s="5">
        <v>21848</v>
      </c>
      <c r="E298" s="5">
        <v>26309</v>
      </c>
    </row>
    <row r="299" spans="1:5" x14ac:dyDescent="0.25">
      <c r="A299" s="4" t="s">
        <v>87</v>
      </c>
      <c r="B299" s="5">
        <v>4756</v>
      </c>
      <c r="C299" s="5">
        <v>5724</v>
      </c>
      <c r="D299" s="5">
        <v>5578</v>
      </c>
      <c r="E299" s="5">
        <v>6152</v>
      </c>
    </row>
    <row r="300" spans="1:5" x14ac:dyDescent="0.25">
      <c r="A300" s="4" t="s">
        <v>96</v>
      </c>
      <c r="B300" s="5">
        <v>267</v>
      </c>
      <c r="C300" s="5">
        <v>-388</v>
      </c>
      <c r="D300" s="5">
        <v>759</v>
      </c>
      <c r="E300" s="5">
        <v>721</v>
      </c>
    </row>
    <row r="301" spans="1:5" x14ac:dyDescent="0.25">
      <c r="A301" s="4" t="s">
        <v>262</v>
      </c>
      <c r="B301" s="5">
        <v>13673</v>
      </c>
      <c r="C301" s="5">
        <v>11680</v>
      </c>
      <c r="D301" s="5">
        <v>15511</v>
      </c>
      <c r="E301" s="5">
        <v>19436</v>
      </c>
    </row>
    <row r="302" spans="1:5" x14ac:dyDescent="0.25">
      <c r="A302" s="4" t="s">
        <v>263</v>
      </c>
      <c r="B302" s="5">
        <v>0</v>
      </c>
      <c r="C302" s="5">
        <v>0</v>
      </c>
      <c r="D302" s="5">
        <v>0</v>
      </c>
      <c r="E302" s="5">
        <v>0</v>
      </c>
    </row>
    <row r="303" spans="1:5" x14ac:dyDescent="0.25">
      <c r="A303" s="4" t="s">
        <v>264</v>
      </c>
      <c r="B303" s="5">
        <v>0</v>
      </c>
      <c r="C303" s="5">
        <v>0</v>
      </c>
      <c r="D303" s="5">
        <v>0</v>
      </c>
      <c r="E303" s="5">
        <v>0</v>
      </c>
    </row>
    <row r="304" spans="1:5" x14ac:dyDescent="0.25">
      <c r="A304" s="4" t="s">
        <v>106</v>
      </c>
      <c r="B304" s="5">
        <v>13673</v>
      </c>
      <c r="C304" s="5">
        <v>11680</v>
      </c>
      <c r="D304" s="5">
        <v>15511</v>
      </c>
      <c r="E304" s="5">
        <v>19436</v>
      </c>
    </row>
    <row r="305" spans="1:5" x14ac:dyDescent="0.25">
      <c r="A305" s="4" t="s">
        <v>265</v>
      </c>
      <c r="B305" s="5">
        <v>0</v>
      </c>
      <c r="C305" s="5">
        <v>0</v>
      </c>
      <c r="D305" s="5">
        <v>0</v>
      </c>
      <c r="E305" s="5">
        <v>0</v>
      </c>
    </row>
    <row r="306" spans="1:5" x14ac:dyDescent="0.25">
      <c r="A306" s="4" t="s">
        <v>266</v>
      </c>
      <c r="B306" s="5">
        <v>4.9000000000000004</v>
      </c>
      <c r="C306" s="5">
        <v>4.29</v>
      </c>
      <c r="D306" s="5">
        <v>5.76</v>
      </c>
      <c r="E306" s="5">
        <v>2.42</v>
      </c>
    </row>
    <row r="307" spans="1:5" x14ac:dyDescent="0.25">
      <c r="A307" s="4" t="s">
        <v>267</v>
      </c>
      <c r="B307" s="5">
        <v>4.9000000000000004</v>
      </c>
      <c r="C307" s="5">
        <v>4.29</v>
      </c>
      <c r="D307" s="5">
        <v>5.76</v>
      </c>
      <c r="E307" s="5">
        <v>2.42</v>
      </c>
    </row>
    <row r="308" spans="1:5" x14ac:dyDescent="0.25">
      <c r="A308" s="4" t="s">
        <v>268</v>
      </c>
      <c r="B308" s="5">
        <v>4.87</v>
      </c>
      <c r="C308" s="5">
        <v>4.2699999999999996</v>
      </c>
      <c r="D308" s="5">
        <v>5.74</v>
      </c>
      <c r="E308" s="5">
        <v>2.41</v>
      </c>
    </row>
    <row r="309" spans="1:5" x14ac:dyDescent="0.25">
      <c r="A309" s="4" t="s">
        <v>269</v>
      </c>
      <c r="B309" s="5">
        <v>4.87</v>
      </c>
      <c r="C309" s="5">
        <v>4.2699999999999996</v>
      </c>
      <c r="D309" s="5">
        <v>5.74</v>
      </c>
      <c r="E309" s="5">
        <v>2.41</v>
      </c>
    </row>
    <row r="310" spans="1:5" x14ac:dyDescent="0.25">
      <c r="A310" s="4" t="s">
        <v>270</v>
      </c>
      <c r="B310" s="5">
        <v>2792</v>
      </c>
      <c r="C310" s="5">
        <v>2724</v>
      </c>
      <c r="D310" s="5">
        <v>2692</v>
      </c>
      <c r="E310" s="5">
        <v>8041</v>
      </c>
    </row>
    <row r="311" spans="1:5" x14ac:dyDescent="0.25">
      <c r="A311" s="1" t="s">
        <v>107</v>
      </c>
    </row>
    <row r="312" spans="1:5" x14ac:dyDescent="0.25">
      <c r="A312" s="4" t="s">
        <v>271</v>
      </c>
      <c r="B312" s="5">
        <v>2805</v>
      </c>
      <c r="C312" s="5">
        <v>2734</v>
      </c>
      <c r="D312" s="5">
        <v>2703</v>
      </c>
      <c r="E312" s="5">
        <v>8081</v>
      </c>
    </row>
    <row r="313" spans="1:5" x14ac:dyDescent="0.25">
      <c r="A313" s="4" t="s">
        <v>272</v>
      </c>
      <c r="B313" s="5">
        <v>2761</v>
      </c>
      <c r="C313" s="5">
        <v>2693</v>
      </c>
      <c r="D313" s="5">
        <v>2685</v>
      </c>
      <c r="E313" s="5">
        <v>8024</v>
      </c>
    </row>
    <row r="314" spans="1:5" x14ac:dyDescent="0.25">
      <c r="A314" s="4" t="s">
        <v>118</v>
      </c>
      <c r="B314" s="5">
        <v>24181</v>
      </c>
      <c r="C314" s="5">
        <v>28841</v>
      </c>
      <c r="D314" s="5">
        <v>35726</v>
      </c>
      <c r="E314" s="5">
        <v>36443</v>
      </c>
    </row>
    <row r="315" spans="1:5" x14ac:dyDescent="0.25">
      <c r="A315" s="4" t="s">
        <v>123</v>
      </c>
      <c r="B315" s="5">
        <v>13106</v>
      </c>
      <c r="C315" s="5">
        <v>16857</v>
      </c>
      <c r="D315" s="5">
        <v>20606</v>
      </c>
      <c r="E315" s="5">
        <v>23783</v>
      </c>
    </row>
    <row r="316" spans="1:5" x14ac:dyDescent="0.25">
      <c r="A316" s="4" t="s">
        <v>273</v>
      </c>
      <c r="B316" s="5">
        <v>394</v>
      </c>
      <c r="C316" s="5">
        <v>170</v>
      </c>
      <c r="D316" s="5">
        <v>250</v>
      </c>
      <c r="E316" s="5">
        <v>432</v>
      </c>
    </row>
    <row r="317" spans="1:5" x14ac:dyDescent="0.25">
      <c r="A317" s="4" t="s">
        <v>125</v>
      </c>
      <c r="B317" s="5">
        <v>359</v>
      </c>
      <c r="C317" s="5">
        <v>740</v>
      </c>
      <c r="D317" s="5">
        <v>9</v>
      </c>
      <c r="E317" s="5">
        <v>1896</v>
      </c>
    </row>
    <row r="318" spans="1:5" x14ac:dyDescent="0.25">
      <c r="A318" s="4" t="s">
        <v>274</v>
      </c>
      <c r="B318" s="5">
        <v>-6015</v>
      </c>
      <c r="C318" s="5">
        <v>-17722</v>
      </c>
      <c r="D318" s="5">
        <v>-21287</v>
      </c>
      <c r="E318" s="5">
        <v>-21379</v>
      </c>
    </row>
    <row r="319" spans="1:5" x14ac:dyDescent="0.25">
      <c r="A319" s="4" t="s">
        <v>131</v>
      </c>
      <c r="B319" s="5">
        <v>6152</v>
      </c>
      <c r="C319" s="5">
        <v>6114</v>
      </c>
      <c r="D319" s="5">
        <v>6140</v>
      </c>
      <c r="E319" s="5">
        <v>6688</v>
      </c>
    </row>
    <row r="320" spans="1:5" x14ac:dyDescent="0.25">
      <c r="A320" s="1" t="s">
        <v>275</v>
      </c>
    </row>
    <row r="321" spans="1:5" x14ac:dyDescent="0.25">
      <c r="A321" s="4" t="s">
        <v>276</v>
      </c>
      <c r="B321" s="5">
        <v>2237</v>
      </c>
      <c r="C321" s="5">
        <v>2051</v>
      </c>
      <c r="D321" s="5">
        <v>2519</v>
      </c>
      <c r="E321" s="5">
        <v>2739</v>
      </c>
    </row>
    <row r="322" spans="1:5" x14ac:dyDescent="0.25">
      <c r="A322" s="4" t="s">
        <v>141</v>
      </c>
      <c r="B322" s="5">
        <v>5918</v>
      </c>
      <c r="C322" s="5">
        <v>3310</v>
      </c>
      <c r="D322" s="5">
        <v>5879</v>
      </c>
      <c r="E322" s="5">
        <v>5884</v>
      </c>
    </row>
    <row r="323" spans="1:5" x14ac:dyDescent="0.25">
      <c r="A323" s="4" t="s">
        <v>277</v>
      </c>
      <c r="B323" s="4" t="s">
        <v>18</v>
      </c>
      <c r="C323" s="4" t="s">
        <v>18</v>
      </c>
      <c r="D323" s="4" t="s">
        <v>18</v>
      </c>
      <c r="E323" s="4" t="s">
        <v>18</v>
      </c>
    </row>
    <row r="324" spans="1:5" x14ac:dyDescent="0.25">
      <c r="A324" s="4" t="s">
        <v>278</v>
      </c>
      <c r="B324" s="5">
        <v>193</v>
      </c>
      <c r="C324" s="5">
        <v>-34</v>
      </c>
      <c r="D324" s="5">
        <v>512</v>
      </c>
      <c r="E324" s="5">
        <v>2212</v>
      </c>
    </row>
    <row r="325" spans="1:5" x14ac:dyDescent="0.25">
      <c r="A325" s="4" t="s">
        <v>279</v>
      </c>
      <c r="B325" s="4" t="s">
        <v>18</v>
      </c>
      <c r="C325" s="4" t="s">
        <v>18</v>
      </c>
      <c r="D325" s="4" t="s">
        <v>18</v>
      </c>
      <c r="E325" s="4" t="s">
        <v>18</v>
      </c>
    </row>
    <row r="326" spans="1:5" x14ac:dyDescent="0.25">
      <c r="A326" s="4" t="s">
        <v>145</v>
      </c>
      <c r="B326" s="5">
        <v>3</v>
      </c>
      <c r="C326" s="5">
        <v>3</v>
      </c>
      <c r="D326" s="5">
        <v>3</v>
      </c>
      <c r="E326" s="5">
        <v>1</v>
      </c>
    </row>
    <row r="327" spans="1:5" x14ac:dyDescent="0.25">
      <c r="A327" s="4" t="s">
        <v>146</v>
      </c>
      <c r="B327" s="5">
        <v>3900</v>
      </c>
      <c r="C327" s="5">
        <v>4100</v>
      </c>
      <c r="D327" s="5">
        <v>4400</v>
      </c>
      <c r="E327" s="5">
        <v>5100</v>
      </c>
    </row>
    <row r="328" spans="1:5" x14ac:dyDescent="0.25">
      <c r="A328" s="4" t="s">
        <v>160</v>
      </c>
      <c r="B328" s="5">
        <v>2.2000000000000002</v>
      </c>
      <c r="C328" s="5">
        <v>2.2400000000000002</v>
      </c>
      <c r="D328" s="5">
        <v>2.2799999999999998</v>
      </c>
      <c r="E328" s="5">
        <v>0.83</v>
      </c>
    </row>
    <row r="329" spans="1:5" x14ac:dyDescent="0.25">
      <c r="A329" s="4" t="s">
        <v>161</v>
      </c>
      <c r="B329" s="5">
        <v>6152</v>
      </c>
      <c r="C329" s="5">
        <v>6114</v>
      </c>
      <c r="D329" s="5">
        <v>6140</v>
      </c>
      <c r="E329" s="5">
        <v>6688</v>
      </c>
    </row>
    <row r="330" spans="1:5" x14ac:dyDescent="0.25">
      <c r="A330" s="4" t="s">
        <v>162</v>
      </c>
      <c r="B330" s="5">
        <v>0</v>
      </c>
      <c r="C330" s="5">
        <v>0</v>
      </c>
      <c r="D330" s="5">
        <v>0</v>
      </c>
      <c r="E330" s="5">
        <v>0</v>
      </c>
    </row>
    <row r="331" spans="1:5" x14ac:dyDescent="0.25">
      <c r="A331" s="4" t="s">
        <v>175</v>
      </c>
      <c r="B331" s="5">
        <v>0</v>
      </c>
      <c r="C331" s="5">
        <v>0</v>
      </c>
      <c r="D331" s="5">
        <v>0</v>
      </c>
      <c r="E331" s="5">
        <v>0</v>
      </c>
    </row>
    <row r="332" spans="1:5" x14ac:dyDescent="0.25">
      <c r="A332" s="4" t="s">
        <v>176</v>
      </c>
      <c r="B332" s="5">
        <v>0</v>
      </c>
      <c r="C332" s="5">
        <v>0</v>
      </c>
      <c r="D332" s="5">
        <v>0</v>
      </c>
      <c r="E332" s="5">
        <v>0</v>
      </c>
    </row>
    <row r="333" spans="1:5" x14ac:dyDescent="0.25">
      <c r="A333" s="4" t="s">
        <v>178</v>
      </c>
      <c r="B333" s="5">
        <v>144.69</v>
      </c>
      <c r="C333" s="5">
        <v>141.79</v>
      </c>
      <c r="D333" s="5">
        <v>157.65</v>
      </c>
      <c r="E333" s="5">
        <v>90.35</v>
      </c>
    </row>
    <row r="334" spans="1:5" x14ac:dyDescent="0.25">
      <c r="A334" s="4" t="s">
        <v>181</v>
      </c>
      <c r="B334" s="5">
        <v>139.81</v>
      </c>
      <c r="C334" s="5">
        <v>143.87</v>
      </c>
      <c r="D334" s="5">
        <v>165.25</v>
      </c>
      <c r="E334" s="5">
        <v>98.16</v>
      </c>
    </row>
    <row r="335" spans="1:5" x14ac:dyDescent="0.25">
      <c r="A335" s="4" t="s">
        <v>182</v>
      </c>
      <c r="B335" s="4" t="s">
        <v>18</v>
      </c>
      <c r="C335" s="4" t="s">
        <v>18</v>
      </c>
      <c r="D335" s="4" t="s">
        <v>18</v>
      </c>
      <c r="E335" s="4" t="s">
        <v>18</v>
      </c>
    </row>
    <row r="336" spans="1:5" x14ac:dyDescent="0.25">
      <c r="A336" s="4" t="s">
        <v>188</v>
      </c>
      <c r="B336" s="5">
        <v>3097</v>
      </c>
      <c r="C336" s="5">
        <v>3205</v>
      </c>
      <c r="D336" s="5">
        <v>3359</v>
      </c>
      <c r="E336" s="5">
        <v>3492</v>
      </c>
    </row>
    <row r="337" spans="1:5" x14ac:dyDescent="0.25">
      <c r="A337" s="4" t="s">
        <v>190</v>
      </c>
      <c r="B337" s="5">
        <v>0</v>
      </c>
      <c r="C337" s="5">
        <v>0</v>
      </c>
      <c r="D337" s="5">
        <v>0</v>
      </c>
      <c r="E337" s="5">
        <v>0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59294-9308-444B-941D-CFB95651C7AD}">
  <dimension ref="A1:L107"/>
  <sheetViews>
    <sheetView workbookViewId="0">
      <pane ySplit="1" topLeftCell="A38" activePane="bottomLeft" state="frozen"/>
      <selection pane="bottomLeft" activeCell="B57" sqref="B57"/>
    </sheetView>
  </sheetViews>
  <sheetFormatPr defaultRowHeight="14.4" x14ac:dyDescent="0.3"/>
  <cols>
    <col min="1" max="1" width="41.109375" bestFit="1" customWidth="1"/>
    <col min="2" max="2" width="13.109375" bestFit="1" customWidth="1"/>
    <col min="3" max="3" width="11.5546875" bestFit="1" customWidth="1"/>
    <col min="4" max="7" width="13.109375" bestFit="1" customWidth="1"/>
  </cols>
  <sheetData>
    <row r="1" spans="1:12" x14ac:dyDescent="0.3">
      <c r="A1" s="68" t="s">
        <v>283</v>
      </c>
      <c r="B1" s="70" t="s">
        <v>282</v>
      </c>
      <c r="C1" s="71"/>
      <c r="D1" s="72"/>
      <c r="E1" s="70" t="s">
        <v>284</v>
      </c>
      <c r="F1" s="71"/>
      <c r="G1" s="73"/>
    </row>
    <row r="2" spans="1:12" x14ac:dyDescent="0.3">
      <c r="A2" s="69"/>
      <c r="B2" s="7">
        <v>2022</v>
      </c>
      <c r="C2" s="7">
        <v>2023</v>
      </c>
      <c r="D2" s="7">
        <v>2024</v>
      </c>
      <c r="E2" s="7">
        <v>2022</v>
      </c>
      <c r="F2" s="7">
        <v>2023</v>
      </c>
      <c r="G2" s="20">
        <v>2024</v>
      </c>
    </row>
    <row r="3" spans="1:12" x14ac:dyDescent="0.3">
      <c r="A3" s="37" t="s">
        <v>285</v>
      </c>
      <c r="B3" s="38"/>
      <c r="C3" s="38"/>
      <c r="D3" s="38"/>
      <c r="E3" s="22"/>
      <c r="F3" s="22"/>
      <c r="G3" s="23"/>
    </row>
    <row r="4" spans="1:12" x14ac:dyDescent="0.3">
      <c r="A4" s="39" t="s">
        <v>288</v>
      </c>
      <c r="B4" s="22">
        <f>'Financial Statement Amazon'!C109</f>
        <v>-2722</v>
      </c>
      <c r="C4" s="22">
        <f>'Financial Statement Amazon'!D109</f>
        <v>30425</v>
      </c>
      <c r="D4" s="22">
        <f>'Financial Statement Amazon'!E109</f>
        <v>59248</v>
      </c>
      <c r="E4" s="22">
        <f>'Financial Statement Walmart'!C109</f>
        <v>11680</v>
      </c>
      <c r="F4" s="22">
        <f>'Financial Statement Walmart'!D109</f>
        <v>15511</v>
      </c>
      <c r="G4" s="23">
        <f>'Financial Statement Walmart'!E109</f>
        <v>19436</v>
      </c>
    </row>
    <row r="5" spans="1:12" x14ac:dyDescent="0.3">
      <c r="A5" s="39" t="s">
        <v>286</v>
      </c>
      <c r="B5" s="22">
        <f>AVERAGE('Financial Statement Amazon'!B69:C69)</f>
        <v>142144</v>
      </c>
      <c r="C5" s="22">
        <f>AVERAGE('Financial Statement Amazon'!C69:D69)</f>
        <v>173959</v>
      </c>
      <c r="D5" s="22">
        <f>AVERAGE('Financial Statement Amazon'!D69:E69)</f>
        <v>243922.5</v>
      </c>
      <c r="E5" s="22">
        <f>AVERAGE('Financial Statement Walmart'!B69:C69)</f>
        <v>87822.5</v>
      </c>
      <c r="F5" s="22">
        <f>AVERAGE('Financial Statement Walmart'!C69:D69)</f>
        <v>87051.5</v>
      </c>
      <c r="G5" s="23">
        <f>AVERAGE('Financial Statement Walmart'!D69:E69)</f>
        <v>93885</v>
      </c>
    </row>
    <row r="6" spans="1:12" x14ac:dyDescent="0.3">
      <c r="A6" s="41" t="s">
        <v>287</v>
      </c>
      <c r="B6" s="42">
        <f>B4/B5</f>
        <v>-1.914959477712742E-2</v>
      </c>
      <c r="C6" s="42">
        <f t="shared" ref="C6:G6" si="0">C4/C5</f>
        <v>0.1748975333268184</v>
      </c>
      <c r="D6" s="42">
        <f t="shared" si="0"/>
        <v>0.24289682173641219</v>
      </c>
      <c r="E6" s="42">
        <f t="shared" si="0"/>
        <v>0.13299553075806314</v>
      </c>
      <c r="F6" s="42">
        <f t="shared" si="0"/>
        <v>0.17818188084065179</v>
      </c>
      <c r="G6" s="43">
        <f t="shared" si="0"/>
        <v>0.20701922564839964</v>
      </c>
    </row>
    <row r="7" spans="1:12" x14ac:dyDescent="0.3">
      <c r="A7" s="21"/>
      <c r="G7" s="26"/>
    </row>
    <row r="8" spans="1:12" x14ac:dyDescent="0.3">
      <c r="A8" s="37" t="s">
        <v>289</v>
      </c>
      <c r="G8" s="26"/>
      <c r="K8" s="54"/>
      <c r="L8" s="54"/>
    </row>
    <row r="9" spans="1:12" x14ac:dyDescent="0.3">
      <c r="A9" s="39" t="s">
        <v>288</v>
      </c>
      <c r="B9" s="40">
        <f>'Financial Statement Amazon'!C109</f>
        <v>-2722</v>
      </c>
      <c r="C9" s="40">
        <f>'Financial Statement Amazon'!D109</f>
        <v>30425</v>
      </c>
      <c r="D9" s="40">
        <f>'Financial Statement Amazon'!E109</f>
        <v>59248</v>
      </c>
      <c r="E9" s="40">
        <f>E4</f>
        <v>11680</v>
      </c>
      <c r="F9" s="40">
        <f t="shared" ref="F9:G9" si="1">F4</f>
        <v>15511</v>
      </c>
      <c r="G9" s="44">
        <f t="shared" si="1"/>
        <v>19436</v>
      </c>
      <c r="K9" s="54"/>
      <c r="L9" s="54"/>
    </row>
    <row r="10" spans="1:12" x14ac:dyDescent="0.3">
      <c r="A10" s="39" t="s">
        <v>290</v>
      </c>
      <c r="B10" s="22">
        <f>AVERAGE('Financial Statement Amazon'!B32:C32)</f>
        <v>441612</v>
      </c>
      <c r="C10" s="22">
        <f>AVERAGE('Financial Statement Amazon'!C32:D32)</f>
        <v>495264.5</v>
      </c>
      <c r="D10" s="22">
        <f>AVERAGE('Financial Statement Amazon'!D32:E32)</f>
        <v>576374</v>
      </c>
      <c r="E10">
        <f>AVERAGE('Financial Statement Walmart'!B32:C32)</f>
        <v>244028.5</v>
      </c>
      <c r="F10">
        <f>AVERAGE('Financial Statement Walmart'!C32:D32)</f>
        <v>247798</v>
      </c>
      <c r="G10" s="26">
        <f>AVERAGE('Financial Statement Walmart'!D32:E32)</f>
        <v>256611</v>
      </c>
      <c r="K10" s="54"/>
      <c r="L10" s="54"/>
    </row>
    <row r="11" spans="1:12" x14ac:dyDescent="0.3">
      <c r="A11" s="41" t="s">
        <v>291</v>
      </c>
      <c r="B11" s="42">
        <f>B9/B10</f>
        <v>-6.1637817812921752E-3</v>
      </c>
      <c r="C11" s="42">
        <f t="shared" ref="C11:G11" si="2">C9/C10</f>
        <v>6.143182077455582E-2</v>
      </c>
      <c r="D11" s="42">
        <f t="shared" si="2"/>
        <v>0.10279436615808485</v>
      </c>
      <c r="E11" s="42">
        <f t="shared" si="2"/>
        <v>4.7863261873100887E-2</v>
      </c>
      <c r="F11" s="42">
        <f t="shared" si="2"/>
        <v>6.2595339752540377E-2</v>
      </c>
      <c r="G11" s="43">
        <f t="shared" si="2"/>
        <v>7.5741102291016368E-2</v>
      </c>
    </row>
    <row r="12" spans="1:12" x14ac:dyDescent="0.3">
      <c r="A12" s="21"/>
      <c r="G12" s="26"/>
    </row>
    <row r="13" spans="1:12" x14ac:dyDescent="0.3">
      <c r="A13" s="37" t="s">
        <v>292</v>
      </c>
      <c r="G13" s="26"/>
    </row>
    <row r="14" spans="1:12" x14ac:dyDescent="0.3">
      <c r="A14" s="39" t="s">
        <v>293</v>
      </c>
      <c r="B14" s="40">
        <f>'Additional Calculation'!B10</f>
        <v>12397.34</v>
      </c>
      <c r="C14" s="40">
        <f>'Additional Calculation'!C10</f>
        <v>29925.72</v>
      </c>
      <c r="D14" s="40">
        <f>'Additional Calculation'!D10</f>
        <v>60171.95</v>
      </c>
      <c r="E14" s="40">
        <f>'Additional Calculation'!E10</f>
        <v>15859.16</v>
      </c>
      <c r="F14" s="40">
        <f>'Additional Calculation'!F10</f>
        <v>18556.04</v>
      </c>
      <c r="G14" s="44">
        <f>'Additional Calculation'!G10</f>
        <v>22713.81</v>
      </c>
    </row>
    <row r="15" spans="1:12" x14ac:dyDescent="0.3">
      <c r="A15" s="39" t="s">
        <v>294</v>
      </c>
      <c r="B15" s="40">
        <f>AVERAGE('Additional Calculation'!B29:C29)</f>
        <v>257710.5</v>
      </c>
      <c r="C15" s="40">
        <f>AVERAGE('Additional Calculation'!C29:D29)</f>
        <v>312407.5</v>
      </c>
      <c r="D15" s="40">
        <f>AVERAGE('Additional Calculation'!D29:E29)</f>
        <v>359217</v>
      </c>
      <c r="E15" s="40">
        <f>AVERAGE('Additional Calculation'!E29:F29)</f>
        <v>256293</v>
      </c>
      <c r="F15" s="40">
        <f>AVERAGE('Additional Calculation'!F29:G29)</f>
        <v>127140.5</v>
      </c>
      <c r="G15" s="44">
        <f>AVERAGE('Additional Calculation'!G29:H29)</f>
        <v>132915.5</v>
      </c>
    </row>
    <row r="16" spans="1:12" x14ac:dyDescent="0.3">
      <c r="A16" s="41" t="s">
        <v>298</v>
      </c>
      <c r="B16" s="42">
        <f>B14/B15</f>
        <v>4.810568447928975E-2</v>
      </c>
      <c r="C16" s="42">
        <f t="shared" ref="C16:G16" si="3">C14/C15</f>
        <v>9.5790658034778292E-2</v>
      </c>
      <c r="D16" s="42">
        <f t="shared" si="3"/>
        <v>0.16750863684068404</v>
      </c>
      <c r="E16" s="42">
        <f t="shared" si="3"/>
        <v>6.1879021276429712E-2</v>
      </c>
      <c r="F16" s="42">
        <f t="shared" si="3"/>
        <v>0.14594908782016747</v>
      </c>
      <c r="G16" s="43">
        <f t="shared" si="3"/>
        <v>0.17088909871309216</v>
      </c>
    </row>
    <row r="17" spans="1:7" x14ac:dyDescent="0.3">
      <c r="A17" s="41"/>
      <c r="B17" s="42"/>
      <c r="C17" s="42"/>
      <c r="D17" s="42"/>
      <c r="E17" s="42"/>
      <c r="F17" s="42"/>
      <c r="G17" s="43"/>
    </row>
    <row r="18" spans="1:7" x14ac:dyDescent="0.3">
      <c r="A18" s="52" t="s">
        <v>368</v>
      </c>
      <c r="B18" s="42"/>
      <c r="C18" s="42"/>
      <c r="D18" s="42"/>
      <c r="E18" s="42"/>
      <c r="F18" s="42"/>
      <c r="G18" s="43"/>
    </row>
    <row r="19" spans="1:7" x14ac:dyDescent="0.3">
      <c r="A19" s="39" t="s">
        <v>369</v>
      </c>
      <c r="B19" s="38">
        <f>'Financial Statement Amazon'!C74</f>
        <v>263907</v>
      </c>
      <c r="C19" s="38">
        <f>'Financial Statement Amazon'!D74</f>
        <v>274514</v>
      </c>
      <c r="D19" s="38">
        <f>'Financial Statement Amazon'!E74</f>
        <v>294221</v>
      </c>
      <c r="E19" s="38">
        <f>'Financial Statement Walmart'!C74</f>
        <v>452776</v>
      </c>
      <c r="F19" s="38">
        <f>'Financial Statement Walmart'!D74</f>
        <v>478289</v>
      </c>
      <c r="G19" s="53">
        <f>'Financial Statement Walmart'!E74</f>
        <v>498780</v>
      </c>
    </row>
    <row r="20" spans="1:7" x14ac:dyDescent="0.3">
      <c r="A20" s="39" t="s">
        <v>370</v>
      </c>
      <c r="B20" s="38">
        <f>AVERAGE('Financial Statement Amazon'!B14:C14)</f>
        <v>32607.5</v>
      </c>
      <c r="C20" s="38">
        <f>AVERAGE('Financial Statement Amazon'!C14:D14)</f>
        <v>32891.5</v>
      </c>
      <c r="D20" s="38">
        <f>AVERAGE('Financial Statement Amazon'!D14:E14)</f>
        <v>32771</v>
      </c>
      <c r="E20" s="38">
        <f>AVERAGE('Financial Statement Walmart'!B14:C14)</f>
        <v>56543.5</v>
      </c>
      <c r="F20" s="38">
        <f>AVERAGE('Financial Statement Walmart'!C14:D14)</f>
        <v>55734</v>
      </c>
      <c r="G20" s="53">
        <f>AVERAGE('Financial Statement Walmart'!D14:E14)</f>
        <v>55663.5</v>
      </c>
    </row>
    <row r="21" spans="1:7" x14ac:dyDescent="0.3">
      <c r="A21" s="41" t="s">
        <v>368</v>
      </c>
      <c r="B21" s="24">
        <f>B19/B20</f>
        <v>8.0934447596411871</v>
      </c>
      <c r="C21" s="24">
        <f t="shared" ref="C21:G21" si="4">C19/C20</f>
        <v>8.34604685101014</v>
      </c>
      <c r="D21" s="24">
        <f t="shared" si="4"/>
        <v>8.9780903847914306</v>
      </c>
      <c r="E21" s="24">
        <f t="shared" si="4"/>
        <v>8.0075693934758192</v>
      </c>
      <c r="F21" s="24">
        <f t="shared" si="4"/>
        <v>8.5816377794523984</v>
      </c>
      <c r="G21" s="25">
        <f t="shared" si="4"/>
        <v>8.9606294968875471</v>
      </c>
    </row>
    <row r="22" spans="1:7" x14ac:dyDescent="0.3">
      <c r="A22" s="21"/>
      <c r="G22" s="26"/>
    </row>
    <row r="23" spans="1:7" x14ac:dyDescent="0.3">
      <c r="A23" s="37" t="s">
        <v>295</v>
      </c>
      <c r="G23" s="26"/>
    </row>
    <row r="24" spans="1:7" x14ac:dyDescent="0.3">
      <c r="A24" s="39" t="s">
        <v>296</v>
      </c>
      <c r="B24" s="22">
        <f>'Financial Statement Amazon'!C73</f>
        <v>513983</v>
      </c>
      <c r="C24" s="22">
        <f>'Financial Statement Amazon'!D73</f>
        <v>574785</v>
      </c>
      <c r="D24" s="22">
        <f>'Financial Statement Amazon'!E73</f>
        <v>637959</v>
      </c>
      <c r="E24" s="22">
        <f>'Financial Statement Walmart'!C73</f>
        <v>608481</v>
      </c>
      <c r="F24" s="22">
        <f>'Financial Statement Walmart'!D73</f>
        <v>645737</v>
      </c>
      <c r="G24" s="23">
        <f>'Financial Statement Walmart'!E73</f>
        <v>680985</v>
      </c>
    </row>
    <row r="25" spans="1:7" x14ac:dyDescent="0.3">
      <c r="A25" s="39" t="s">
        <v>297</v>
      </c>
      <c r="B25" s="22">
        <f>AVERAGE('Financial Statement Amazon'!B10:C10)</f>
        <v>30650</v>
      </c>
      <c r="C25" s="22">
        <f>AVERAGE('Financial Statement Amazon'!C10:D10)</f>
        <v>40850</v>
      </c>
      <c r="D25" s="22">
        <f>AVERAGE('Financial Statement Amazon'!D10:E10)</f>
        <v>48100</v>
      </c>
      <c r="E25" s="22">
        <f>AVERAGE('Financial Statement Walmart'!B10:C10)</f>
        <v>8106.5</v>
      </c>
      <c r="F25" s="22">
        <f>AVERAGE('Financial Statement Walmart'!C10:D10)</f>
        <v>8364.5</v>
      </c>
      <c r="G25" s="23">
        <f>AVERAGE('Financial Statement Walmart'!D10:E10)</f>
        <v>9385.5</v>
      </c>
    </row>
    <row r="26" spans="1:7" x14ac:dyDescent="0.3">
      <c r="A26" s="41" t="s">
        <v>299</v>
      </c>
      <c r="B26" s="45">
        <f>B24/B25</f>
        <v>16.769429037520393</v>
      </c>
      <c r="C26" s="45">
        <f t="shared" ref="C26:G26" si="5">C24/C25</f>
        <v>14.07062423500612</v>
      </c>
      <c r="D26" s="45">
        <f t="shared" si="5"/>
        <v>13.263180873180874</v>
      </c>
      <c r="E26" s="45">
        <f t="shared" si="5"/>
        <v>75.060877073952994</v>
      </c>
      <c r="F26" s="45">
        <f t="shared" si="5"/>
        <v>77.199713073106579</v>
      </c>
      <c r="G26" s="46">
        <f t="shared" si="5"/>
        <v>72.557136007671403</v>
      </c>
    </row>
    <row r="27" spans="1:7" x14ac:dyDescent="0.3">
      <c r="A27" s="21"/>
      <c r="G27" s="26"/>
    </row>
    <row r="28" spans="1:7" x14ac:dyDescent="0.3">
      <c r="A28" s="37" t="s">
        <v>300</v>
      </c>
      <c r="G28" s="26"/>
    </row>
    <row r="29" spans="1:7" x14ac:dyDescent="0.3">
      <c r="A29" s="39" t="s">
        <v>71</v>
      </c>
      <c r="B29" s="22">
        <f>'Financial Statement Amazon'!C74</f>
        <v>263907</v>
      </c>
      <c r="C29" s="22">
        <f>'Financial Statement Amazon'!D74</f>
        <v>274514</v>
      </c>
      <c r="D29" s="22">
        <f>'Financial Statement Amazon'!E74</f>
        <v>294221</v>
      </c>
      <c r="E29" s="22">
        <f>'Financial Statement Walmart'!C74</f>
        <v>452776</v>
      </c>
      <c r="F29" s="22">
        <f>'Financial Statement Walmart'!D74</f>
        <v>478289</v>
      </c>
      <c r="G29" s="23">
        <f>'Financial Statement Walmart'!E74</f>
        <v>498780</v>
      </c>
    </row>
    <row r="30" spans="1:7" x14ac:dyDescent="0.3">
      <c r="A30" s="39" t="s">
        <v>301</v>
      </c>
      <c r="B30" s="22">
        <f>AVERAGE('Financial Statement Amazon'!B37:C37)</f>
        <v>79132</v>
      </c>
      <c r="C30" s="22">
        <f>AVERAGE('Financial Statement Amazon'!C37:D37)</f>
        <v>82290.5</v>
      </c>
      <c r="D30" s="22">
        <f>AVERAGE('Financial Statement Amazon'!D37:E37)</f>
        <v>89672</v>
      </c>
      <c r="E30" s="22">
        <f>AVERAGE('Financial Statement Walmart'!B37:C37)</f>
        <v>54501.5</v>
      </c>
      <c r="F30" s="22">
        <f>AVERAGE('Financial Statement Walmart'!C37:D37)</f>
        <v>55277</v>
      </c>
      <c r="G30" s="23">
        <f>AVERAGE('Financial Statement Walmart'!D37:E37)</f>
        <v>57739</v>
      </c>
    </row>
    <row r="31" spans="1:7" x14ac:dyDescent="0.3">
      <c r="A31" s="41" t="s">
        <v>302</v>
      </c>
      <c r="B31" s="45">
        <f>B29/B30</f>
        <v>3.3350224940605568</v>
      </c>
      <c r="C31" s="45">
        <f t="shared" ref="C31:G31" si="6">C29/C30</f>
        <v>3.3359136230792132</v>
      </c>
      <c r="D31" s="45">
        <f t="shared" si="6"/>
        <v>3.2810799357659022</v>
      </c>
      <c r="E31" s="45">
        <f t="shared" si="6"/>
        <v>8.3075878645541863</v>
      </c>
      <c r="F31" s="45">
        <f t="shared" si="6"/>
        <v>8.6525860665376193</v>
      </c>
      <c r="G31" s="46">
        <f t="shared" si="6"/>
        <v>8.6385285508928114</v>
      </c>
    </row>
    <row r="32" spans="1:7" x14ac:dyDescent="0.3">
      <c r="A32" s="21"/>
      <c r="G32" s="26"/>
    </row>
    <row r="33" spans="1:7" x14ac:dyDescent="0.3">
      <c r="A33" s="37" t="s">
        <v>303</v>
      </c>
      <c r="G33" s="26"/>
    </row>
    <row r="34" spans="1:7" x14ac:dyDescent="0.3">
      <c r="A34" s="39" t="s">
        <v>296</v>
      </c>
      <c r="B34" s="40">
        <f>B24</f>
        <v>513983</v>
      </c>
      <c r="C34" s="40">
        <f t="shared" ref="C34:G34" si="7">C24</f>
        <v>574785</v>
      </c>
      <c r="D34" s="40">
        <f t="shared" si="7"/>
        <v>637959</v>
      </c>
      <c r="E34" s="40">
        <f t="shared" si="7"/>
        <v>608481</v>
      </c>
      <c r="F34" s="40">
        <f t="shared" si="7"/>
        <v>645737</v>
      </c>
      <c r="G34" s="44">
        <f t="shared" si="7"/>
        <v>680985</v>
      </c>
    </row>
    <row r="35" spans="1:7" x14ac:dyDescent="0.3">
      <c r="A35" s="39" t="s">
        <v>304</v>
      </c>
      <c r="B35" s="22">
        <f>AVERAGE('Financial Statement Amazon'!B23:C23)</f>
        <v>234600.5</v>
      </c>
      <c r="C35" s="22">
        <f>AVERAGE('Financial Statement Amazon'!C23:D23)</f>
        <v>264764</v>
      </c>
      <c r="D35" s="22">
        <f>AVERAGE('Financial Statement Amazon'!D23:E23)</f>
        <v>302748</v>
      </c>
      <c r="E35" s="22">
        <f>AVERAGE('Financial Statement Walmart'!B23:C23)</f>
        <v>115929</v>
      </c>
      <c r="F35" s="22">
        <f>AVERAGE('Financial Statement Walmart'!C23:D23)</f>
        <v>124786</v>
      </c>
      <c r="G35" s="23">
        <f>AVERAGE('Financial Statement Walmart'!D23:E23)</f>
        <v>135021</v>
      </c>
    </row>
    <row r="36" spans="1:7" x14ac:dyDescent="0.3">
      <c r="A36" s="41" t="s">
        <v>305</v>
      </c>
      <c r="B36" s="47">
        <f>B34/B35</f>
        <v>2.1908862086824197</v>
      </c>
      <c r="C36" s="47">
        <f t="shared" ref="C36:G36" si="8">C34/C35</f>
        <v>2.1709333595201765</v>
      </c>
      <c r="D36" s="47">
        <f t="shared" si="8"/>
        <v>2.1072277934123429</v>
      </c>
      <c r="E36" s="47">
        <f t="shared" si="8"/>
        <v>5.2487384519835416</v>
      </c>
      <c r="F36" s="47">
        <f t="shared" si="8"/>
        <v>5.1747551808696493</v>
      </c>
      <c r="G36" s="48">
        <f t="shared" si="8"/>
        <v>5.0435487813006867</v>
      </c>
    </row>
    <row r="37" spans="1:7" x14ac:dyDescent="0.3">
      <c r="A37" s="21"/>
      <c r="G37" s="26"/>
    </row>
    <row r="38" spans="1:7" x14ac:dyDescent="0.3">
      <c r="A38" s="37" t="s">
        <v>306</v>
      </c>
      <c r="G38" s="26"/>
    </row>
    <row r="39" spans="1:7" x14ac:dyDescent="0.3">
      <c r="A39" s="39" t="s">
        <v>281</v>
      </c>
      <c r="B39" s="22">
        <f>'Financial Statement Amazon'!C81</f>
        <v>12907</v>
      </c>
      <c r="C39" s="22">
        <f>'Financial Statement Amazon'!D81</f>
        <v>36913</v>
      </c>
      <c r="D39" s="22">
        <f>'Financial Statement Amazon'!E81</f>
        <v>69438</v>
      </c>
      <c r="E39" s="22">
        <f>'Financial Statement Walmart'!C81</f>
        <v>21794</v>
      </c>
      <c r="F39" s="22">
        <f>'Financial Statement Walmart'!D81</f>
        <v>24717</v>
      </c>
      <c r="G39" s="23">
        <f>'Financial Statement Walmart'!E81</f>
        <v>29504</v>
      </c>
    </row>
    <row r="40" spans="1:7" x14ac:dyDescent="0.3">
      <c r="A40" s="39" t="s">
        <v>307</v>
      </c>
      <c r="B40" s="22">
        <f>'Financial Statement Amazon'!C82</f>
        <v>2367</v>
      </c>
      <c r="C40" s="22">
        <f>'Financial Statement Amazon'!D82</f>
        <v>3182</v>
      </c>
      <c r="D40" s="22">
        <f>'Financial Statement Amazon'!E82</f>
        <v>2406</v>
      </c>
      <c r="E40" s="22">
        <f>'Financial Statement Walmart'!C82</f>
        <v>2128</v>
      </c>
      <c r="F40" s="22">
        <f>'Financial Statement Walmart'!D82</f>
        <v>2683</v>
      </c>
      <c r="G40" s="23">
        <f>'Financial Statement Walmart'!E82</f>
        <v>2728</v>
      </c>
    </row>
    <row r="41" spans="1:7" x14ac:dyDescent="0.3">
      <c r="A41" s="41" t="s">
        <v>308</v>
      </c>
      <c r="B41" s="45">
        <f>B39/B40</f>
        <v>5.4528939585973806</v>
      </c>
      <c r="C41" s="45">
        <f t="shared" ref="C41:G41" si="9">C39/C40</f>
        <v>11.600565681961031</v>
      </c>
      <c r="D41" s="45">
        <f t="shared" si="9"/>
        <v>28.860349127182044</v>
      </c>
      <c r="E41" s="45">
        <f t="shared" si="9"/>
        <v>10.241541353383459</v>
      </c>
      <c r="F41" s="45">
        <f t="shared" si="9"/>
        <v>9.2124487513976892</v>
      </c>
      <c r="G41" s="46">
        <f t="shared" si="9"/>
        <v>10.815249266862169</v>
      </c>
    </row>
    <row r="42" spans="1:7" x14ac:dyDescent="0.3">
      <c r="A42" s="21"/>
      <c r="G42" s="26"/>
    </row>
    <row r="43" spans="1:7" x14ac:dyDescent="0.3">
      <c r="A43" s="37" t="s">
        <v>309</v>
      </c>
      <c r="G43" s="26"/>
    </row>
    <row r="44" spans="1:7" x14ac:dyDescent="0.3">
      <c r="A44" s="39" t="s">
        <v>310</v>
      </c>
      <c r="B44" s="40">
        <f>B39+'Financial Statement Amazon'!C77</f>
        <v>38435</v>
      </c>
      <c r="C44" s="40">
        <f>C39+'Financial Statement Amazon'!D77</f>
        <v>67844</v>
      </c>
      <c r="D44" s="40">
        <f>D39+'Financial Statement Amazon'!E77</f>
        <v>101423</v>
      </c>
      <c r="E44" s="40">
        <f>E39+'Financial Statement Walmart'!C77</f>
        <v>32739</v>
      </c>
      <c r="F44" s="40">
        <f>F39+'Financial Statement Walmart'!D77</f>
        <v>36570</v>
      </c>
      <c r="G44" s="44">
        <f>G39+'Financial Statement Walmart'!E77</f>
        <v>42477</v>
      </c>
    </row>
    <row r="45" spans="1:7" x14ac:dyDescent="0.3">
      <c r="A45" s="39" t="s">
        <v>307</v>
      </c>
      <c r="B45" s="40">
        <f>B40</f>
        <v>2367</v>
      </c>
      <c r="C45" s="40">
        <f t="shared" ref="C45:G45" si="10">C40</f>
        <v>3182</v>
      </c>
      <c r="D45" s="40">
        <f t="shared" si="10"/>
        <v>2406</v>
      </c>
      <c r="E45" s="40">
        <f t="shared" si="10"/>
        <v>2128</v>
      </c>
      <c r="F45" s="40">
        <f t="shared" si="10"/>
        <v>2683</v>
      </c>
      <c r="G45" s="44">
        <f t="shared" si="10"/>
        <v>2728</v>
      </c>
    </row>
    <row r="46" spans="1:7" x14ac:dyDescent="0.3">
      <c r="A46" s="41" t="s">
        <v>309</v>
      </c>
      <c r="B46" s="45">
        <f>B44/B45</f>
        <v>16.237853823405153</v>
      </c>
      <c r="C46" s="45">
        <f t="shared" ref="C46:G46" si="11">C44/C45</f>
        <v>21.321181646763041</v>
      </c>
      <c r="D46" s="45">
        <f t="shared" si="11"/>
        <v>42.154197838736494</v>
      </c>
      <c r="E46" s="45">
        <f t="shared" si="11"/>
        <v>15.384868421052632</v>
      </c>
      <c r="F46" s="45">
        <f t="shared" si="11"/>
        <v>13.630264629146478</v>
      </c>
      <c r="G46" s="46">
        <f t="shared" si="11"/>
        <v>15.57074780058651</v>
      </c>
    </row>
    <row r="47" spans="1:7" x14ac:dyDescent="0.3">
      <c r="A47" s="21"/>
      <c r="G47" s="26"/>
    </row>
    <row r="48" spans="1:7" x14ac:dyDescent="0.3">
      <c r="A48" s="37" t="s">
        <v>311</v>
      </c>
      <c r="G48" s="26"/>
    </row>
    <row r="49" spans="1:7" x14ac:dyDescent="0.3">
      <c r="A49" s="39" t="s">
        <v>312</v>
      </c>
      <c r="B49" s="22">
        <f>'Financial Statement Amazon'!C125</f>
        <v>46752</v>
      </c>
      <c r="C49" s="22">
        <f>'Financial Statement Amazon'!D125</f>
        <v>84946</v>
      </c>
      <c r="D49" s="22">
        <f>'Financial Statement Amazon'!E125</f>
        <v>115877</v>
      </c>
      <c r="E49" s="22">
        <f>'Financial Statement Walmart'!C125</f>
        <v>28841</v>
      </c>
      <c r="F49" s="22">
        <f>'Financial Statement Walmart'!D125</f>
        <v>35726</v>
      </c>
      <c r="G49" s="23">
        <f>'Financial Statement Walmart'!E125</f>
        <v>36443</v>
      </c>
    </row>
    <row r="50" spans="1:7" x14ac:dyDescent="0.3">
      <c r="A50" s="39" t="s">
        <v>313</v>
      </c>
      <c r="B50" s="40">
        <f>'Additional Calculation'!B37</f>
        <v>66912</v>
      </c>
      <c r="C50" s="40">
        <f>'Additional Calculation'!C37</f>
        <v>92620</v>
      </c>
      <c r="D50" s="40">
        <f>'Additional Calculation'!D37</f>
        <v>86061</v>
      </c>
      <c r="E50" s="40">
        <f>'Additional Calculation'!E37</f>
        <v>75401</v>
      </c>
      <c r="F50" s="40">
        <f>'Additional Calculation'!F37</f>
        <v>40071</v>
      </c>
      <c r="G50" s="44">
        <f>'Additional Calculation'!G37</f>
        <v>41252</v>
      </c>
    </row>
    <row r="51" spans="1:7" x14ac:dyDescent="0.3">
      <c r="A51" s="41" t="str">
        <f>A48</f>
        <v>Operating Cashflow To Debt</v>
      </c>
      <c r="B51" s="45">
        <f>B49/B50</f>
        <v>0.69870875179340031</v>
      </c>
      <c r="C51" s="45">
        <f t="shared" ref="C51:G51" si="12">C49/C50</f>
        <v>0.91714532498380474</v>
      </c>
      <c r="D51" s="45">
        <f t="shared" si="12"/>
        <v>1.346451935255226</v>
      </c>
      <c r="E51" s="45">
        <f t="shared" si="12"/>
        <v>0.38250155833477012</v>
      </c>
      <c r="F51" s="45">
        <f t="shared" si="12"/>
        <v>0.89156746774475304</v>
      </c>
      <c r="G51" s="46">
        <f t="shared" si="12"/>
        <v>0.8834238339959275</v>
      </c>
    </row>
    <row r="52" spans="1:7" x14ac:dyDescent="0.3">
      <c r="A52" s="21"/>
      <c r="G52" s="26"/>
    </row>
    <row r="53" spans="1:7" x14ac:dyDescent="0.3">
      <c r="A53" s="37" t="s">
        <v>314</v>
      </c>
      <c r="G53" s="26"/>
    </row>
    <row r="54" spans="1:7" x14ac:dyDescent="0.3">
      <c r="A54" s="39" t="s">
        <v>315</v>
      </c>
      <c r="B54" s="22">
        <f>'Financial Statement Amazon'!C130</f>
        <v>63645</v>
      </c>
      <c r="C54" s="22">
        <f>'Financial Statement Amazon'!D130</f>
        <v>52729</v>
      </c>
      <c r="D54" s="22">
        <f>'Financial Statement Amazon'!E130</f>
        <v>82999</v>
      </c>
      <c r="E54" s="22">
        <f>'Financial Statement Walmart'!C130</f>
        <v>16857</v>
      </c>
      <c r="F54" s="22">
        <f>'Financial Statement Walmart'!D130</f>
        <v>20606</v>
      </c>
      <c r="G54" s="23">
        <f>'Financial Statement Walmart'!E130</f>
        <v>23783</v>
      </c>
    </row>
    <row r="55" spans="1:7" x14ac:dyDescent="0.3">
      <c r="A55" s="39" t="s">
        <v>316</v>
      </c>
      <c r="B55" s="40">
        <f>B49-B54</f>
        <v>-16893</v>
      </c>
      <c r="C55" s="40">
        <f t="shared" ref="C55:G55" si="13">C49-C54</f>
        <v>32217</v>
      </c>
      <c r="D55" s="40">
        <f t="shared" si="13"/>
        <v>32878</v>
      </c>
      <c r="E55" s="40">
        <f t="shared" si="13"/>
        <v>11984</v>
      </c>
      <c r="F55" s="40">
        <f t="shared" si="13"/>
        <v>15120</v>
      </c>
      <c r="G55" s="44">
        <f t="shared" si="13"/>
        <v>12660</v>
      </c>
    </row>
    <row r="56" spans="1:7" x14ac:dyDescent="0.3">
      <c r="A56" s="39" t="s">
        <v>313</v>
      </c>
      <c r="B56" s="40">
        <f>B50</f>
        <v>66912</v>
      </c>
      <c r="C56" s="40">
        <f t="shared" ref="C56:G56" si="14">C50</f>
        <v>92620</v>
      </c>
      <c r="D56" s="40">
        <f t="shared" si="14"/>
        <v>86061</v>
      </c>
      <c r="E56" s="40">
        <f t="shared" si="14"/>
        <v>75401</v>
      </c>
      <c r="F56" s="40">
        <f t="shared" si="14"/>
        <v>40071</v>
      </c>
      <c r="G56" s="44">
        <f t="shared" si="14"/>
        <v>41252</v>
      </c>
    </row>
    <row r="57" spans="1:7" x14ac:dyDescent="0.3">
      <c r="A57" s="41" t="s">
        <v>367</v>
      </c>
      <c r="B57" s="47">
        <f>B55/B56</f>
        <v>-0.25246592539454804</v>
      </c>
      <c r="C57" s="47">
        <f t="shared" ref="C57:G57" si="15">C55/C56</f>
        <v>0.34784063917080543</v>
      </c>
      <c r="D57" s="47">
        <f t="shared" si="15"/>
        <v>0.38203134985649712</v>
      </c>
      <c r="E57" s="47">
        <f t="shared" si="15"/>
        <v>0.15893688412620521</v>
      </c>
      <c r="F57" s="47">
        <f t="shared" si="15"/>
        <v>0.37733023882608369</v>
      </c>
      <c r="G57" s="48">
        <f t="shared" si="15"/>
        <v>0.30689421118976051</v>
      </c>
    </row>
    <row r="58" spans="1:7" x14ac:dyDescent="0.3">
      <c r="A58" s="21"/>
      <c r="G58" s="26"/>
    </row>
    <row r="59" spans="1:7" x14ac:dyDescent="0.3">
      <c r="A59" s="37" t="s">
        <v>317</v>
      </c>
      <c r="G59" s="26"/>
    </row>
    <row r="60" spans="1:7" x14ac:dyDescent="0.3">
      <c r="A60" s="39" t="s">
        <v>318</v>
      </c>
      <c r="B60" s="22">
        <f>'Financial Statement Amazon'!C22</f>
        <v>146791</v>
      </c>
      <c r="C60" s="22">
        <f>'Financial Statement Amazon'!D22</f>
        <v>172351</v>
      </c>
      <c r="D60" s="22">
        <f>'Financial Statement Amazon'!E22</f>
        <v>190867</v>
      </c>
      <c r="E60" s="22">
        <f>'Financial Statement Walmart'!C22</f>
        <v>75655</v>
      </c>
      <c r="F60" s="22">
        <f>'Financial Statement Walmart'!D22</f>
        <v>76877</v>
      </c>
      <c r="G60" s="23">
        <f>'Financial Statement Walmart'!E22</f>
        <v>79458</v>
      </c>
    </row>
    <row r="61" spans="1:7" x14ac:dyDescent="0.3">
      <c r="A61" s="39" t="s">
        <v>319</v>
      </c>
      <c r="B61" s="22">
        <f>'Financial Statement Amazon'!C42</f>
        <v>155393</v>
      </c>
      <c r="C61" s="22">
        <f>'Financial Statement Amazon'!D42</f>
        <v>164917</v>
      </c>
      <c r="D61" s="22">
        <f>'Financial Statement Amazon'!E42</f>
        <v>179431</v>
      </c>
      <c r="E61" s="22">
        <f>'Financial Statement Walmart'!C42</f>
        <v>92198</v>
      </c>
      <c r="F61" s="22">
        <f>'Financial Statement Walmart'!D42</f>
        <v>92415</v>
      </c>
      <c r="G61" s="23">
        <f>'Financial Statement Walmart'!E42</f>
        <v>96584</v>
      </c>
    </row>
    <row r="62" spans="1:7" x14ac:dyDescent="0.3">
      <c r="A62" s="41" t="s">
        <v>317</v>
      </c>
      <c r="B62" s="47">
        <f>B60/B61</f>
        <v>0.9446435811136924</v>
      </c>
      <c r="C62" s="47">
        <f t="shared" ref="C62:G62" si="16">C60/C61</f>
        <v>1.0450772206625152</v>
      </c>
      <c r="D62" s="47">
        <f t="shared" si="16"/>
        <v>1.0637348061371781</v>
      </c>
      <c r="E62" s="47">
        <f t="shared" si="16"/>
        <v>0.82057094513980777</v>
      </c>
      <c r="F62" s="47">
        <f t="shared" si="16"/>
        <v>0.83186712113834338</v>
      </c>
      <c r="G62" s="48">
        <f t="shared" si="16"/>
        <v>0.82268284602004471</v>
      </c>
    </row>
    <row r="63" spans="1:7" x14ac:dyDescent="0.3">
      <c r="A63" s="21"/>
      <c r="G63" s="26"/>
    </row>
    <row r="64" spans="1:7" x14ac:dyDescent="0.3">
      <c r="A64" s="37" t="s">
        <v>320</v>
      </c>
      <c r="G64" s="26"/>
    </row>
    <row r="65" spans="1:7" x14ac:dyDescent="0.3">
      <c r="A65" s="39" t="s">
        <v>321</v>
      </c>
      <c r="B65" s="22">
        <f>'Financial Statement Amazon'!C7+'Financial Statement Amazon'!C10</f>
        <v>105184</v>
      </c>
      <c r="C65" s="22">
        <f>'Financial Statement Amazon'!D7+'Financial Statement Amazon'!D10</f>
        <v>134177</v>
      </c>
      <c r="D65" s="22">
        <f>'Financial Statement Amazon'!E7+'Financial Statement Amazon'!E10</f>
        <v>150749</v>
      </c>
      <c r="E65" s="22">
        <f>'Financial Statement Walmart'!C10+'Financial Statement Walmart'!C7</f>
        <v>16558</v>
      </c>
      <c r="F65" s="22">
        <f>'Financial Statement Walmart'!D10+'Financial Statement Walmart'!D7</f>
        <v>18663</v>
      </c>
      <c r="G65" s="23">
        <f>'Financial Statement Walmart'!E10+'Financial Statement Walmart'!E7</f>
        <v>19012</v>
      </c>
    </row>
    <row r="66" spans="1:7" x14ac:dyDescent="0.3">
      <c r="A66" s="39" t="s">
        <v>319</v>
      </c>
      <c r="B66" s="40">
        <f>B61</f>
        <v>155393</v>
      </c>
      <c r="C66" s="40">
        <f t="shared" ref="C66:G66" si="17">C61</f>
        <v>164917</v>
      </c>
      <c r="D66" s="40">
        <f t="shared" si="17"/>
        <v>179431</v>
      </c>
      <c r="E66" s="40">
        <f t="shared" si="17"/>
        <v>92198</v>
      </c>
      <c r="F66" s="40">
        <f t="shared" si="17"/>
        <v>92415</v>
      </c>
      <c r="G66" s="44">
        <f t="shared" si="17"/>
        <v>96584</v>
      </c>
    </row>
    <row r="67" spans="1:7" x14ac:dyDescent="0.3">
      <c r="A67" s="41" t="s">
        <v>343</v>
      </c>
      <c r="B67" s="47">
        <f>B65/B66</f>
        <v>0.67689020740960015</v>
      </c>
      <c r="C67" s="47">
        <f t="shared" ref="C67:G67" si="18">C65/C66</f>
        <v>0.81360320646143214</v>
      </c>
      <c r="D67" s="47">
        <f t="shared" si="18"/>
        <v>0.84015025274339439</v>
      </c>
      <c r="E67" s="47">
        <f t="shared" si="18"/>
        <v>0.17959174819410401</v>
      </c>
      <c r="F67" s="47">
        <f t="shared" si="18"/>
        <v>0.20194773575718228</v>
      </c>
      <c r="G67" s="48">
        <f t="shared" si="18"/>
        <v>0.19684419779673651</v>
      </c>
    </row>
    <row r="68" spans="1:7" x14ac:dyDescent="0.3">
      <c r="A68" s="21"/>
      <c r="G68" s="26"/>
    </row>
    <row r="69" spans="1:7" x14ac:dyDescent="0.3">
      <c r="A69" s="37" t="s">
        <v>322</v>
      </c>
      <c r="G69" s="26"/>
    </row>
    <row r="70" spans="1:7" x14ac:dyDescent="0.3">
      <c r="A70" s="39" t="s">
        <v>323</v>
      </c>
      <c r="B70" s="22">
        <f>'Financial Statement Amazon'!C57</f>
        <v>316632</v>
      </c>
      <c r="C70" s="22">
        <f>'Financial Statement Amazon'!D57</f>
        <v>325979</v>
      </c>
      <c r="D70" s="22">
        <f>'Financial Statement Amazon'!E57</f>
        <v>338924</v>
      </c>
      <c r="E70" s="22">
        <f>'Financial Statement Walmart'!C57</f>
        <v>159443</v>
      </c>
      <c r="F70" s="22">
        <f>'Financial Statement Walmart'!D57</f>
        <v>162050</v>
      </c>
      <c r="G70" s="23">
        <f>'Financial Statement Walmart'!E57</f>
        <v>163402</v>
      </c>
    </row>
    <row r="71" spans="1:7" x14ac:dyDescent="0.3">
      <c r="A71" s="39" t="s">
        <v>324</v>
      </c>
      <c r="B71" s="22">
        <f>'Financial Statement Amazon'!C69</f>
        <v>146043</v>
      </c>
      <c r="C71" s="22">
        <f>'Financial Statement Amazon'!D69</f>
        <v>201875</v>
      </c>
      <c r="D71" s="22">
        <f>'Financial Statement Amazon'!E69</f>
        <v>285970</v>
      </c>
      <c r="E71" s="22">
        <f>'Financial Statement Walmart'!C69</f>
        <v>83754</v>
      </c>
      <c r="F71" s="22">
        <f>'Financial Statement Walmart'!D69</f>
        <v>90349</v>
      </c>
      <c r="G71" s="23">
        <f>'Financial Statement Walmart'!E69</f>
        <v>97421</v>
      </c>
    </row>
    <row r="72" spans="1:7" x14ac:dyDescent="0.3">
      <c r="A72" s="41" t="s">
        <v>342</v>
      </c>
      <c r="B72" s="47">
        <f>B70/B71</f>
        <v>2.1680737864875415</v>
      </c>
      <c r="C72" s="47">
        <f t="shared" ref="C72:G72" si="19">C70/C71</f>
        <v>1.6147566563467493</v>
      </c>
      <c r="D72" s="47">
        <f t="shared" si="19"/>
        <v>1.1851732699234185</v>
      </c>
      <c r="E72" s="47">
        <f t="shared" si="19"/>
        <v>1.903706091649354</v>
      </c>
      <c r="F72" s="47">
        <f t="shared" si="19"/>
        <v>1.7936003718912219</v>
      </c>
      <c r="G72" s="48">
        <f t="shared" si="19"/>
        <v>1.6772769731372086</v>
      </c>
    </row>
    <row r="73" spans="1:7" x14ac:dyDescent="0.3">
      <c r="A73" s="21"/>
      <c r="G73" s="26"/>
    </row>
    <row r="74" spans="1:7" x14ac:dyDescent="0.3">
      <c r="A74" s="37" t="s">
        <v>325</v>
      </c>
      <c r="G74" s="26"/>
    </row>
    <row r="75" spans="1:7" x14ac:dyDescent="0.3">
      <c r="A75" s="21" t="s">
        <v>326</v>
      </c>
      <c r="B75" s="40">
        <f>B56</f>
        <v>66912</v>
      </c>
      <c r="C75" s="40">
        <f t="shared" ref="C75:G75" si="20">C56</f>
        <v>92620</v>
      </c>
      <c r="D75" s="40">
        <f t="shared" si="20"/>
        <v>86061</v>
      </c>
      <c r="E75" s="40">
        <f t="shared" si="20"/>
        <v>75401</v>
      </c>
      <c r="F75" s="40">
        <f t="shared" si="20"/>
        <v>40071</v>
      </c>
      <c r="G75" s="44">
        <f t="shared" si="20"/>
        <v>41252</v>
      </c>
    </row>
    <row r="76" spans="1:7" x14ac:dyDescent="0.3">
      <c r="A76" s="21" t="s">
        <v>324</v>
      </c>
      <c r="B76" s="40">
        <f>B71</f>
        <v>146043</v>
      </c>
      <c r="C76" s="40">
        <f t="shared" ref="C76:D76" si="21">C71</f>
        <v>201875</v>
      </c>
      <c r="D76" s="40">
        <f t="shared" si="21"/>
        <v>285970</v>
      </c>
      <c r="E76" s="40">
        <f t="shared" ref="E76:G76" si="22">E71</f>
        <v>83754</v>
      </c>
      <c r="F76" s="40">
        <f t="shared" si="22"/>
        <v>90349</v>
      </c>
      <c r="G76" s="44">
        <f t="shared" si="22"/>
        <v>97421</v>
      </c>
    </row>
    <row r="77" spans="1:7" x14ac:dyDescent="0.3">
      <c r="A77" s="41" t="s">
        <v>325</v>
      </c>
      <c r="B77" s="47">
        <f>B75/B76</f>
        <v>0.45816643043487193</v>
      </c>
      <c r="C77" s="47">
        <f t="shared" ref="C77:D77" si="23">C75/C76</f>
        <v>0.45879876160990712</v>
      </c>
      <c r="D77" s="47">
        <f t="shared" si="23"/>
        <v>0.30094415498129173</v>
      </c>
      <c r="E77" s="47">
        <f t="shared" ref="E77" si="24">E75/E76</f>
        <v>0.90026744991284002</v>
      </c>
      <c r="F77" s="47">
        <f t="shared" ref="F77" si="25">F75/F76</f>
        <v>0.44351348659088646</v>
      </c>
      <c r="G77" s="48">
        <f t="shared" ref="G77" si="26">G75/G76</f>
        <v>0.42344053130228593</v>
      </c>
    </row>
    <row r="78" spans="1:7" x14ac:dyDescent="0.3">
      <c r="A78" s="21"/>
      <c r="G78" s="26"/>
    </row>
    <row r="79" spans="1:7" x14ac:dyDescent="0.3">
      <c r="A79" s="37" t="s">
        <v>327</v>
      </c>
      <c r="G79" s="26"/>
    </row>
    <row r="80" spans="1:7" x14ac:dyDescent="0.3">
      <c r="A80" s="21" t="s">
        <v>290</v>
      </c>
      <c r="B80" s="40">
        <f>B10</f>
        <v>441612</v>
      </c>
      <c r="C80" s="40">
        <f t="shared" ref="C80:D80" si="27">C10</f>
        <v>495264.5</v>
      </c>
      <c r="D80" s="40">
        <f t="shared" si="27"/>
        <v>576374</v>
      </c>
      <c r="E80" s="40">
        <f t="shared" ref="E80:G80" si="28">E10</f>
        <v>244028.5</v>
      </c>
      <c r="F80" s="40">
        <f t="shared" si="28"/>
        <v>247798</v>
      </c>
      <c r="G80" s="44">
        <f t="shared" si="28"/>
        <v>256611</v>
      </c>
    </row>
    <row r="81" spans="1:7" x14ac:dyDescent="0.3">
      <c r="A81" s="21" t="s">
        <v>328</v>
      </c>
      <c r="B81" s="40">
        <f>B5</f>
        <v>142144</v>
      </c>
      <c r="C81" s="40">
        <f t="shared" ref="C81:D81" si="29">C5</f>
        <v>173959</v>
      </c>
      <c r="D81" s="40">
        <f t="shared" si="29"/>
        <v>243922.5</v>
      </c>
      <c r="E81" s="40">
        <f t="shared" ref="E81:G81" si="30">E5</f>
        <v>87822.5</v>
      </c>
      <c r="F81" s="40">
        <f t="shared" si="30"/>
        <v>87051.5</v>
      </c>
      <c r="G81" s="44">
        <f t="shared" si="30"/>
        <v>93885</v>
      </c>
    </row>
    <row r="82" spans="1:7" x14ac:dyDescent="0.3">
      <c r="A82" s="41" t="s">
        <v>341</v>
      </c>
      <c r="B82" s="45">
        <f>B80/B81</f>
        <v>3.1067931112111662</v>
      </c>
      <c r="C82" s="45">
        <f t="shared" ref="C82:D82" si="31">C80/C81</f>
        <v>2.8470185503480705</v>
      </c>
      <c r="D82" s="45">
        <f t="shared" si="31"/>
        <v>2.3629390482632804</v>
      </c>
      <c r="E82" s="45">
        <f t="shared" ref="E82:G82" si="32">E80/E81</f>
        <v>2.7786558114378432</v>
      </c>
      <c r="F82" s="45">
        <f t="shared" si="32"/>
        <v>2.8465678362808222</v>
      </c>
      <c r="G82" s="46">
        <f t="shared" si="32"/>
        <v>2.7332481227033072</v>
      </c>
    </row>
    <row r="83" spans="1:7" x14ac:dyDescent="0.3">
      <c r="A83" s="21"/>
      <c r="G83" s="26"/>
    </row>
    <row r="84" spans="1:7" x14ac:dyDescent="0.3">
      <c r="A84" s="37" t="s">
        <v>329</v>
      </c>
      <c r="G84" s="26"/>
    </row>
    <row r="85" spans="1:7" x14ac:dyDescent="0.3">
      <c r="A85" s="39" t="s">
        <v>330</v>
      </c>
      <c r="B85" s="40">
        <f>'Additional Calculation'!B10</f>
        <v>12397.34</v>
      </c>
      <c r="C85" s="40">
        <f>'Additional Calculation'!C10</f>
        <v>29925.72</v>
      </c>
      <c r="D85" s="40">
        <f>'Additional Calculation'!D10</f>
        <v>60171.95</v>
      </c>
      <c r="E85" s="40">
        <f>'Additional Calculation'!E10</f>
        <v>15859.16</v>
      </c>
      <c r="F85" s="40">
        <f>'Additional Calculation'!F10</f>
        <v>18556.04</v>
      </c>
      <c r="G85" s="44">
        <f>'Additional Calculation'!G10</f>
        <v>22713.81</v>
      </c>
    </row>
    <row r="86" spans="1:7" x14ac:dyDescent="0.3">
      <c r="A86" s="39" t="s">
        <v>296</v>
      </c>
      <c r="B86" s="40">
        <f>B90</f>
        <v>513983</v>
      </c>
      <c r="C86" s="40">
        <f t="shared" ref="C86:D86" si="33">C90</f>
        <v>574785</v>
      </c>
      <c r="D86" s="40">
        <f t="shared" si="33"/>
        <v>637959</v>
      </c>
      <c r="E86" s="40">
        <f>E34</f>
        <v>608481</v>
      </c>
      <c r="F86" s="40">
        <f t="shared" ref="F86:G86" si="34">F34</f>
        <v>645737</v>
      </c>
      <c r="G86" s="44">
        <f t="shared" si="34"/>
        <v>680985</v>
      </c>
    </row>
    <row r="87" spans="1:7" x14ac:dyDescent="0.3">
      <c r="A87" s="41" t="s">
        <v>362</v>
      </c>
      <c r="B87" s="42">
        <f>B85/B86</f>
        <v>2.4120136269098393E-2</v>
      </c>
      <c r="C87" s="42">
        <f t="shared" ref="C87:D87" si="35">C85/C86</f>
        <v>5.2064197917482194E-2</v>
      </c>
      <c r="D87" s="42">
        <f t="shared" si="35"/>
        <v>9.4319462535993687E-2</v>
      </c>
      <c r="E87" s="42">
        <f t="shared" ref="E87" si="36">E85/E86</f>
        <v>2.6063525401779183E-2</v>
      </c>
      <c r="F87" s="42">
        <f t="shared" ref="F87" si="37">F85/F86</f>
        <v>2.8736219234765856E-2</v>
      </c>
      <c r="G87" s="43">
        <f t="shared" ref="G87" si="38">G85/G86</f>
        <v>3.3354347012048723E-2</v>
      </c>
    </row>
    <row r="88" spans="1:7" x14ac:dyDescent="0.3">
      <c r="A88" s="21"/>
      <c r="G88" s="26"/>
    </row>
    <row r="89" spans="1:7" x14ac:dyDescent="0.3">
      <c r="A89" s="37" t="s">
        <v>331</v>
      </c>
      <c r="G89" s="26"/>
    </row>
    <row r="90" spans="1:7" x14ac:dyDescent="0.3">
      <c r="A90" s="39" t="s">
        <v>296</v>
      </c>
      <c r="B90" s="40">
        <f>B96</f>
        <v>513983</v>
      </c>
      <c r="C90" s="40">
        <f t="shared" ref="C90:D90" si="39">C96</f>
        <v>574785</v>
      </c>
      <c r="D90" s="40">
        <f t="shared" si="39"/>
        <v>637959</v>
      </c>
      <c r="E90" s="40">
        <f>E86</f>
        <v>608481</v>
      </c>
      <c r="F90" s="40">
        <f t="shared" ref="F90:G90" si="40">F86</f>
        <v>645737</v>
      </c>
      <c r="G90" s="44">
        <f t="shared" si="40"/>
        <v>680985</v>
      </c>
    </row>
    <row r="91" spans="1:7" x14ac:dyDescent="0.3">
      <c r="A91" s="39" t="s">
        <v>332</v>
      </c>
      <c r="B91" s="40">
        <f>B15</f>
        <v>257710.5</v>
      </c>
      <c r="C91" s="40">
        <f t="shared" ref="C91:D91" si="41">C15</f>
        <v>312407.5</v>
      </c>
      <c r="D91" s="40">
        <f t="shared" si="41"/>
        <v>359217</v>
      </c>
      <c r="E91" s="40">
        <f t="shared" ref="E91:G91" si="42">E15</f>
        <v>256293</v>
      </c>
      <c r="F91" s="40">
        <f t="shared" si="42"/>
        <v>127140.5</v>
      </c>
      <c r="G91" s="44">
        <f t="shared" si="42"/>
        <v>132915.5</v>
      </c>
    </row>
    <row r="92" spans="1:7" x14ac:dyDescent="0.3">
      <c r="A92" s="41" t="s">
        <v>331</v>
      </c>
      <c r="B92" s="45">
        <f>B90/B91</f>
        <v>1.9944200954171445</v>
      </c>
      <c r="C92" s="45">
        <f t="shared" ref="C92:D92" si="43">C90/C91</f>
        <v>1.8398565975528756</v>
      </c>
      <c r="D92" s="45">
        <f t="shared" si="43"/>
        <v>1.7759710704114784</v>
      </c>
      <c r="E92" s="45">
        <f t="shared" ref="E92" si="44">E90/E91</f>
        <v>2.3741616041015559</v>
      </c>
      <c r="F92" s="45">
        <f t="shared" ref="F92" si="45">F90/F91</f>
        <v>5.0789244969148308</v>
      </c>
      <c r="G92" s="46">
        <f t="shared" ref="G92" si="46">G90/G91</f>
        <v>5.1234430897826062</v>
      </c>
    </row>
    <row r="93" spans="1:7" x14ac:dyDescent="0.3">
      <c r="A93" s="21"/>
      <c r="G93" s="26"/>
    </row>
    <row r="94" spans="1:7" x14ac:dyDescent="0.3">
      <c r="A94" s="37" t="s">
        <v>333</v>
      </c>
      <c r="G94" s="26"/>
    </row>
    <row r="95" spans="1:7" x14ac:dyDescent="0.3">
      <c r="A95" s="21" t="s">
        <v>334</v>
      </c>
      <c r="B95" s="22">
        <f>'Financial Statement Amazon'!C73-'Financial Statement Amazon'!C74</f>
        <v>250076</v>
      </c>
      <c r="C95" s="22">
        <f>'Financial Statement Amazon'!D73-'Financial Statement Amazon'!D74</f>
        <v>300271</v>
      </c>
      <c r="D95" s="22">
        <f>'Financial Statement Amazon'!E73-'Financial Statement Amazon'!E74</f>
        <v>343738</v>
      </c>
      <c r="E95" s="22">
        <f>'Financial Statement Walmart'!C73-'Financial Statement Walmart'!C74</f>
        <v>155705</v>
      </c>
      <c r="F95" s="22">
        <f>'Financial Statement Walmart'!D73-'Financial Statement Walmart'!D74</f>
        <v>167448</v>
      </c>
      <c r="G95" s="23">
        <f>'Financial Statement Walmart'!E73-'Financial Statement Walmart'!E74</f>
        <v>182205</v>
      </c>
    </row>
    <row r="96" spans="1:7" x14ac:dyDescent="0.3">
      <c r="A96" s="21" t="s">
        <v>296</v>
      </c>
      <c r="B96" s="40">
        <f>B34</f>
        <v>513983</v>
      </c>
      <c r="C96" s="40">
        <f t="shared" ref="C96:G96" si="47">C34</f>
        <v>574785</v>
      </c>
      <c r="D96" s="40">
        <f t="shared" si="47"/>
        <v>637959</v>
      </c>
      <c r="E96" s="40">
        <f t="shared" si="47"/>
        <v>608481</v>
      </c>
      <c r="F96" s="40">
        <f t="shared" si="47"/>
        <v>645737</v>
      </c>
      <c r="G96" s="44">
        <f t="shared" si="47"/>
        <v>680985</v>
      </c>
    </row>
    <row r="97" spans="1:7" x14ac:dyDescent="0.3">
      <c r="A97" s="41" t="s">
        <v>340</v>
      </c>
      <c r="B97" s="42">
        <f>B95/B96</f>
        <v>0.48654527484372051</v>
      </c>
      <c r="C97" s="42">
        <f t="shared" ref="C97:G97" si="48">C95/C96</f>
        <v>0.52240576911366854</v>
      </c>
      <c r="D97" s="42">
        <f t="shared" si="48"/>
        <v>0.53880892032246586</v>
      </c>
      <c r="E97" s="42">
        <f t="shared" si="48"/>
        <v>0.25589130967113188</v>
      </c>
      <c r="F97" s="42">
        <f t="shared" si="48"/>
        <v>0.25931300204262725</v>
      </c>
      <c r="G97" s="43">
        <f t="shared" si="48"/>
        <v>0.26756095949249986</v>
      </c>
    </row>
    <row r="98" spans="1:7" x14ac:dyDescent="0.3">
      <c r="A98" s="21"/>
      <c r="G98" s="26"/>
    </row>
    <row r="99" spans="1:7" x14ac:dyDescent="0.3">
      <c r="A99" s="37" t="s">
        <v>335</v>
      </c>
      <c r="G99" s="26"/>
    </row>
    <row r="100" spans="1:7" x14ac:dyDescent="0.3">
      <c r="A100" s="21" t="s">
        <v>336</v>
      </c>
      <c r="B100" s="22">
        <f>'Financial Statement Amazon'!C81</f>
        <v>12907</v>
      </c>
      <c r="C100" s="22">
        <f>'Financial Statement Amazon'!D81</f>
        <v>36913</v>
      </c>
      <c r="D100" s="22">
        <f>'Financial Statement Amazon'!E81</f>
        <v>69438</v>
      </c>
      <c r="E100" s="22">
        <f>'Financial Statement Walmart'!C81</f>
        <v>21794</v>
      </c>
      <c r="F100" s="22">
        <f>'Financial Statement Walmart'!D81</f>
        <v>24717</v>
      </c>
      <c r="G100" s="23">
        <f>'Financial Statement Walmart'!E81</f>
        <v>29504</v>
      </c>
    </row>
    <row r="101" spans="1:7" x14ac:dyDescent="0.3">
      <c r="A101" s="21" t="s">
        <v>296</v>
      </c>
      <c r="B101" s="40">
        <f>B34</f>
        <v>513983</v>
      </c>
      <c r="C101" s="40">
        <f t="shared" ref="C101:D101" si="49">C34</f>
        <v>574785</v>
      </c>
      <c r="D101" s="40">
        <f t="shared" si="49"/>
        <v>637959</v>
      </c>
      <c r="E101" s="40">
        <f t="shared" ref="E101:G101" si="50">E34</f>
        <v>608481</v>
      </c>
      <c r="F101" s="40">
        <f t="shared" si="50"/>
        <v>645737</v>
      </c>
      <c r="G101" s="44">
        <f t="shared" si="50"/>
        <v>680985</v>
      </c>
    </row>
    <row r="102" spans="1:7" x14ac:dyDescent="0.3">
      <c r="A102" s="41" t="s">
        <v>339</v>
      </c>
      <c r="B102" s="42">
        <f>B100/B101</f>
        <v>2.5111725485084137E-2</v>
      </c>
      <c r="C102" s="42">
        <f t="shared" ref="C102:D102" si="51">C100/C101</f>
        <v>6.4220534634689491E-2</v>
      </c>
      <c r="D102" s="42">
        <f t="shared" si="51"/>
        <v>0.10884398527178078</v>
      </c>
      <c r="E102" s="42">
        <f t="shared" ref="E102:G102" si="52">E100/E101</f>
        <v>3.5817059201519848E-2</v>
      </c>
      <c r="F102" s="42">
        <f t="shared" si="52"/>
        <v>3.8277193346517233E-2</v>
      </c>
      <c r="G102" s="43">
        <f t="shared" si="52"/>
        <v>4.3325477066308363E-2</v>
      </c>
    </row>
    <row r="103" spans="1:7" x14ac:dyDescent="0.3">
      <c r="A103" s="21"/>
      <c r="G103" s="26"/>
    </row>
    <row r="104" spans="1:7" x14ac:dyDescent="0.3">
      <c r="A104" s="37" t="s">
        <v>337</v>
      </c>
      <c r="G104" s="26"/>
    </row>
    <row r="105" spans="1:7" x14ac:dyDescent="0.3">
      <c r="A105" s="21" t="s">
        <v>338</v>
      </c>
      <c r="B105" s="22">
        <f>'Financial Statement Amazon'!C109</f>
        <v>-2722</v>
      </c>
      <c r="C105" s="22">
        <f>'Financial Statement Amazon'!D109</f>
        <v>30425</v>
      </c>
      <c r="D105" s="22">
        <f>'Financial Statement Amazon'!E109</f>
        <v>59248</v>
      </c>
      <c r="E105" s="22">
        <f>'Financial Statement Walmart'!C109</f>
        <v>11680</v>
      </c>
      <c r="F105" s="22">
        <f>'Financial Statement Walmart'!D109</f>
        <v>15511</v>
      </c>
      <c r="G105" s="23">
        <f>'Financial Statement Walmart'!E109</f>
        <v>19436</v>
      </c>
    </row>
    <row r="106" spans="1:7" x14ac:dyDescent="0.3">
      <c r="A106" s="21" t="s">
        <v>296</v>
      </c>
      <c r="B106" s="22">
        <f>'Financial Statement Amazon'!C73</f>
        <v>513983</v>
      </c>
      <c r="C106" s="22">
        <f>'Financial Statement Amazon'!D73</f>
        <v>574785</v>
      </c>
      <c r="D106" s="22">
        <f>'Financial Statement Amazon'!E73</f>
        <v>637959</v>
      </c>
      <c r="E106" s="22">
        <f>'Financial Statement Walmart'!C73</f>
        <v>608481</v>
      </c>
      <c r="F106" s="22">
        <f>'Financial Statement Walmart'!D73</f>
        <v>645737</v>
      </c>
      <c r="G106" s="23">
        <f>'Financial Statement Walmart'!E73</f>
        <v>680985</v>
      </c>
    </row>
    <row r="107" spans="1:7" ht="15" thickBot="1" x14ac:dyDescent="0.35">
      <c r="A107" s="49" t="s">
        <v>337</v>
      </c>
      <c r="B107" s="50">
        <f>B105/B106</f>
        <v>-5.2958950004183018E-3</v>
      </c>
      <c r="C107" s="50">
        <f t="shared" ref="C107:G107" si="53">C105/C106</f>
        <v>5.2932835755978319E-2</v>
      </c>
      <c r="D107" s="50">
        <f t="shared" si="53"/>
        <v>9.2871171971866534E-2</v>
      </c>
      <c r="E107" s="50">
        <f t="shared" si="53"/>
        <v>1.919534052829916E-2</v>
      </c>
      <c r="F107" s="50">
        <f t="shared" si="53"/>
        <v>2.402061520402269E-2</v>
      </c>
      <c r="G107" s="51">
        <f t="shared" si="53"/>
        <v>2.8541010448100913E-2</v>
      </c>
    </row>
  </sheetData>
  <mergeCells count="3">
    <mergeCell ref="A1:A2"/>
    <mergeCell ref="B1:D1"/>
    <mergeCell ref="E1:G1"/>
  </mergeCells>
  <pageMargins left="0.7" right="0.7" top="0.75" bottom="0.75" header="0.3" footer="0.3"/>
  <ignoredErrors>
    <ignoredError sqref="B5:G5 B10:G10 B25:G25 B30:D30 B35:D35 E30:G30 E35:G35 B20:G2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opLeftCell="A23" workbookViewId="0">
      <selection activeCell="A43" sqref="A43"/>
    </sheetView>
  </sheetViews>
  <sheetFormatPr defaultRowHeight="14.4" x14ac:dyDescent="0.3"/>
  <cols>
    <col min="1" max="1" width="41.109375" bestFit="1" customWidth="1"/>
    <col min="2" max="2" width="12" bestFit="1" customWidth="1"/>
    <col min="3" max="5" width="11.5546875" bestFit="1" customWidth="1"/>
    <col min="6" max="9" width="11.33203125" bestFit="1" customWidth="1"/>
  </cols>
  <sheetData>
    <row r="1" spans="1:9" x14ac:dyDescent="0.3">
      <c r="A1" s="75" t="s">
        <v>283</v>
      </c>
      <c r="B1" s="74" t="s">
        <v>282</v>
      </c>
      <c r="C1" s="74"/>
      <c r="D1" s="74"/>
      <c r="E1" s="74" t="s">
        <v>284</v>
      </c>
      <c r="F1" s="74"/>
      <c r="G1" s="74"/>
    </row>
    <row r="2" spans="1:9" x14ac:dyDescent="0.3">
      <c r="A2" s="75"/>
      <c r="B2" s="7">
        <v>2022</v>
      </c>
      <c r="C2" s="7">
        <v>2023</v>
      </c>
      <c r="D2" s="7">
        <v>2024</v>
      </c>
      <c r="E2" s="7">
        <v>2022</v>
      </c>
      <c r="F2" s="7">
        <v>2023</v>
      </c>
      <c r="G2" s="7">
        <v>2024</v>
      </c>
    </row>
    <row r="3" spans="1:9" x14ac:dyDescent="0.3">
      <c r="A3" s="12" t="str">
        <f>'Financial Statement Amazon'!A81</f>
        <v>Operating Income After Depreciation</v>
      </c>
      <c r="B3" s="13">
        <f>'Financial Statement Amazon'!C81</f>
        <v>12907</v>
      </c>
      <c r="C3" s="13">
        <f>'Financial Statement Amazon'!D81</f>
        <v>36913</v>
      </c>
      <c r="D3" s="13">
        <f>'Financial Statement Amazon'!E81</f>
        <v>69438</v>
      </c>
      <c r="E3" s="14">
        <f>'Financial Statement Walmart'!C81</f>
        <v>21794</v>
      </c>
      <c r="F3" s="14">
        <f>'Financial Statement Walmart'!D81</f>
        <v>24717</v>
      </c>
      <c r="G3" s="14">
        <f>'Financial Statement Walmart'!E81</f>
        <v>29504</v>
      </c>
    </row>
    <row r="4" spans="1:9" x14ac:dyDescent="0.3">
      <c r="A4" s="15" t="s">
        <v>281</v>
      </c>
      <c r="B4" s="16">
        <f>B3</f>
        <v>12907</v>
      </c>
      <c r="C4" s="16">
        <f t="shared" ref="C4:D4" si="0">C3</f>
        <v>36913</v>
      </c>
      <c r="D4" s="16">
        <f t="shared" si="0"/>
        <v>69438</v>
      </c>
      <c r="E4" s="16">
        <f t="shared" ref="E4" si="1">E3</f>
        <v>21794</v>
      </c>
      <c r="F4" s="16">
        <f t="shared" ref="F4" si="2">F3</f>
        <v>24717</v>
      </c>
      <c r="G4" s="16">
        <f t="shared" ref="G4" si="3">G3</f>
        <v>29504</v>
      </c>
    </row>
    <row r="5" spans="1:9" x14ac:dyDescent="0.3">
      <c r="A5" s="15" t="s">
        <v>359</v>
      </c>
      <c r="B5" s="16"/>
      <c r="C5" s="16"/>
      <c r="D5" s="16"/>
      <c r="E5" s="16"/>
      <c r="F5" s="16"/>
      <c r="G5" s="16"/>
    </row>
    <row r="6" spans="1:9" x14ac:dyDescent="0.3">
      <c r="A6" s="12" t="s">
        <v>358</v>
      </c>
      <c r="B6" s="17">
        <f>'Financial Statement Amazon'!C90</f>
        <v>-3217</v>
      </c>
      <c r="C6" s="17">
        <f>'Financial Statement Amazon'!D90</f>
        <v>7120</v>
      </c>
      <c r="D6" s="17">
        <f>'Financial Statement Amazon'!E90</f>
        <v>9265</v>
      </c>
      <c r="E6" s="17">
        <f>'Financial Statement Walmart'!C90</f>
        <v>5724</v>
      </c>
      <c r="F6" s="17">
        <f>'Financial Statement Walmart'!D90</f>
        <v>5578</v>
      </c>
      <c r="G6" s="17">
        <f>'Financial Statement Walmart'!E90</f>
        <v>6152</v>
      </c>
    </row>
    <row r="7" spans="1:9" x14ac:dyDescent="0.3">
      <c r="A7" s="12" t="s">
        <v>360</v>
      </c>
      <c r="B7" s="17">
        <f>'Financial Statement Amazon'!C82-'Financial Statement Amazon'!C83</f>
        <v>17746</v>
      </c>
      <c r="C7" s="17">
        <f>'Financial Statement Amazon'!D82-'Financial Statement Amazon'!D83</f>
        <v>-632</v>
      </c>
      <c r="D7" s="17">
        <f>'Financial Statement Amazon'!E82-'Financial Statement Amazon'!E83</f>
        <v>5</v>
      </c>
      <c r="E7" s="17">
        <f>'Financial Statement Walmart'!C82-'Financial Statement Walmart'!C83</f>
        <v>1004</v>
      </c>
      <c r="F7" s="17">
        <f>'Financial Statement Walmart'!D82-'Financial Statement Walmart'!D83</f>
        <v>2776</v>
      </c>
      <c r="G7" s="17">
        <f>'Financial Statement Walmart'!E82-'Financial Statement Walmart'!E83</f>
        <v>3039</v>
      </c>
    </row>
    <row r="8" spans="1:9" x14ac:dyDescent="0.3">
      <c r="A8" s="12" t="s">
        <v>361</v>
      </c>
      <c r="B8" s="18">
        <v>0.21</v>
      </c>
      <c r="C8" s="18">
        <v>0.21</v>
      </c>
      <c r="D8" s="18">
        <v>0.21</v>
      </c>
      <c r="E8" s="18">
        <v>0.21</v>
      </c>
      <c r="F8" s="18">
        <v>0.21</v>
      </c>
      <c r="G8" s="18">
        <v>0.21</v>
      </c>
    </row>
    <row r="9" spans="1:9" x14ac:dyDescent="0.3">
      <c r="A9" s="12"/>
      <c r="B9" s="16">
        <f>B6+(B7*B8)</f>
        <v>509.65999999999985</v>
      </c>
      <c r="C9" s="16">
        <f t="shared" ref="C9:D9" si="4">C6+(C7*C8)</f>
        <v>6987.28</v>
      </c>
      <c r="D9" s="16">
        <f t="shared" si="4"/>
        <v>9266.0499999999993</v>
      </c>
      <c r="E9" s="16">
        <f t="shared" ref="E9" si="5">E6+(E7*E8)</f>
        <v>5934.84</v>
      </c>
      <c r="F9" s="16">
        <f t="shared" ref="F9" si="6">F6+(F7*F8)</f>
        <v>6160.96</v>
      </c>
      <c r="G9" s="16">
        <f t="shared" ref="G9" si="7">G6+(G7*G8)</f>
        <v>6790.19</v>
      </c>
    </row>
    <row r="10" spans="1:9" x14ac:dyDescent="0.3">
      <c r="A10" s="15" t="s">
        <v>344</v>
      </c>
      <c r="B10" s="16">
        <f>B4-B9</f>
        <v>12397.34</v>
      </c>
      <c r="C10" s="16">
        <f t="shared" ref="C10:G10" si="8">C4-C9</f>
        <v>29925.72</v>
      </c>
      <c r="D10" s="16">
        <f t="shared" si="8"/>
        <v>60171.95</v>
      </c>
      <c r="E10" s="16">
        <f t="shared" si="8"/>
        <v>15859.16</v>
      </c>
      <c r="F10" s="16">
        <f t="shared" si="8"/>
        <v>18556.04</v>
      </c>
      <c r="G10" s="16">
        <f t="shared" si="8"/>
        <v>22713.81</v>
      </c>
    </row>
    <row r="11" spans="1:9" ht="15" thickBot="1" x14ac:dyDescent="0.35"/>
    <row r="12" spans="1:9" x14ac:dyDescent="0.3">
      <c r="A12" s="32" t="s">
        <v>283</v>
      </c>
      <c r="B12" s="70" t="s">
        <v>282</v>
      </c>
      <c r="C12" s="71"/>
      <c r="D12" s="71"/>
      <c r="E12" s="72"/>
      <c r="F12" s="70" t="s">
        <v>284</v>
      </c>
      <c r="G12" s="71"/>
      <c r="H12" s="71"/>
      <c r="I12" s="73"/>
    </row>
    <row r="13" spans="1:9" x14ac:dyDescent="0.3">
      <c r="A13" s="36" t="s">
        <v>354</v>
      </c>
      <c r="B13" s="7">
        <v>2021</v>
      </c>
      <c r="C13" s="7">
        <v>2022</v>
      </c>
      <c r="D13" s="7">
        <v>2023</v>
      </c>
      <c r="E13" s="7">
        <v>2024</v>
      </c>
      <c r="F13" s="7">
        <v>2021</v>
      </c>
      <c r="G13" s="7">
        <v>2022</v>
      </c>
      <c r="H13" s="7">
        <v>2023</v>
      </c>
      <c r="I13" s="20">
        <v>2024</v>
      </c>
    </row>
    <row r="14" spans="1:9" x14ac:dyDescent="0.3">
      <c r="A14" s="21" t="s">
        <v>346</v>
      </c>
      <c r="B14" s="22">
        <f>'Financial Statement Amazon'!B10</f>
        <v>26500</v>
      </c>
      <c r="C14" s="22">
        <f>'Financial Statement Amazon'!C10</f>
        <v>34800</v>
      </c>
      <c r="D14" s="22">
        <f>'Financial Statement Amazon'!D10</f>
        <v>46900</v>
      </c>
      <c r="E14" s="22">
        <f>'Financial Statement Amazon'!E10</f>
        <v>49300</v>
      </c>
      <c r="F14" s="22">
        <f>'Financial Statement Walmart'!B10</f>
        <v>8280</v>
      </c>
      <c r="G14" s="22">
        <f>'Financial Statement Walmart'!C10</f>
        <v>7933</v>
      </c>
      <c r="H14" s="22">
        <f>'Financial Statement Walmart'!D10</f>
        <v>8796</v>
      </c>
      <c r="I14" s="23">
        <f>'Financial Statement Walmart'!E10</f>
        <v>9975</v>
      </c>
    </row>
    <row r="15" spans="1:9" x14ac:dyDescent="0.3">
      <c r="A15" s="21" t="s">
        <v>347</v>
      </c>
      <c r="B15" s="22">
        <f>'Financial Statement Amazon'!B14</f>
        <v>31758</v>
      </c>
      <c r="C15" s="22">
        <f>'Financial Statement Amazon'!C14</f>
        <v>33457</v>
      </c>
      <c r="D15" s="22">
        <f>'Financial Statement Amazon'!D14</f>
        <v>32326</v>
      </c>
      <c r="E15" s="22">
        <f>'Financial Statement Amazon'!E14</f>
        <v>33216</v>
      </c>
      <c r="F15" s="22">
        <f>'Financial Statement Walmart'!B14</f>
        <v>56511</v>
      </c>
      <c r="G15" s="22">
        <f>'Financial Statement Walmart'!C14</f>
        <v>56576</v>
      </c>
      <c r="H15" s="22">
        <f>'Financial Statement Walmart'!D14</f>
        <v>54892</v>
      </c>
      <c r="I15" s="23">
        <f>'Financial Statement Walmart'!E14</f>
        <v>56435</v>
      </c>
    </row>
    <row r="16" spans="1:9" x14ac:dyDescent="0.3">
      <c r="A16" s="21" t="s">
        <v>348</v>
      </c>
      <c r="B16" s="22">
        <f>'Financial Statement Amazon'!B19</f>
        <v>7031</v>
      </c>
      <c r="C16" s="22">
        <f>'Financial Statement Amazon'!C19</f>
        <v>8150</v>
      </c>
      <c r="D16" s="22">
        <f>'Financial Statement Amazon'!D19</f>
        <v>5848</v>
      </c>
      <c r="E16" s="22">
        <f>'Financial Statement Amazon'!E19</f>
        <v>6902</v>
      </c>
      <c r="F16" s="22">
        <f>'Financial Statement Walmart'!B19</f>
        <v>1519</v>
      </c>
      <c r="G16" s="22">
        <f>'Financial Statement Walmart'!C19</f>
        <v>2521</v>
      </c>
      <c r="H16" s="22">
        <f>'Financial Statement Walmart'!D19</f>
        <v>3322</v>
      </c>
      <c r="I16" s="23">
        <f>'Financial Statement Walmart'!E19</f>
        <v>4011</v>
      </c>
    </row>
    <row r="17" spans="1:9" x14ac:dyDescent="0.3">
      <c r="A17" s="21" t="s">
        <v>349</v>
      </c>
      <c r="B17" s="22">
        <f>'Financial Statement Amazon'!B23</f>
        <v>216363</v>
      </c>
      <c r="C17" s="22">
        <f>'Financial Statement Amazon'!C23</f>
        <v>252838</v>
      </c>
      <c r="D17" s="22">
        <f>'Financial Statement Amazon'!D23</f>
        <v>276690</v>
      </c>
      <c r="E17" s="22">
        <f>'Financial Statement Amazon'!E23</f>
        <v>328806</v>
      </c>
      <c r="F17" s="22">
        <f>'Financial Statement Walmart'!B23</f>
        <v>112624</v>
      </c>
      <c r="G17" s="22">
        <f>'Financial Statement Walmart'!C23</f>
        <v>119234</v>
      </c>
      <c r="H17" s="22">
        <f>'Financial Statement Walmart'!D23</f>
        <v>130338</v>
      </c>
      <c r="I17" s="23">
        <f>'Financial Statement Walmart'!E23</f>
        <v>139704</v>
      </c>
    </row>
    <row r="18" spans="1:9" x14ac:dyDescent="0.3">
      <c r="A18" s="21" t="s">
        <v>350</v>
      </c>
      <c r="B18" s="22">
        <f>'Financial Statement Amazon'!B28</f>
        <v>20478</v>
      </c>
      <c r="C18" s="22">
        <f>'Financial Statement Amazon'!C28</f>
        <v>26385</v>
      </c>
      <c r="D18" s="22">
        <f>'Financial Statement Amazon'!D28</f>
        <v>30476</v>
      </c>
      <c r="E18" s="22">
        <f>'Financial Statement Amazon'!E28</f>
        <v>31676</v>
      </c>
      <c r="F18" s="22">
        <f>'Financial Statement Walmart'!B28</f>
        <v>33814</v>
      </c>
      <c r="G18" s="22">
        <f>'Financial Statement Walmart'!C28</f>
        <v>32474</v>
      </c>
      <c r="H18" s="22">
        <f>'Financial Statement Walmart'!D28</f>
        <v>32213</v>
      </c>
      <c r="I18" s="23">
        <f>'Financial Statement Walmart'!E28</f>
        <v>33292</v>
      </c>
    </row>
    <row r="19" spans="1:9" x14ac:dyDescent="0.3">
      <c r="A19" s="21" t="s">
        <v>351</v>
      </c>
      <c r="B19" s="22">
        <f>'Financial Statement Amazon'!B29</f>
        <v>15428</v>
      </c>
      <c r="C19" s="22">
        <f>'Financial Statement Amazon'!C29</f>
        <v>32361</v>
      </c>
      <c r="D19" s="22">
        <f>'Financial Statement Amazon'!D29</f>
        <v>42437</v>
      </c>
      <c r="E19" s="22">
        <f>'Financial Statement Amazon'!E29</f>
        <v>53545</v>
      </c>
      <c r="F19" s="22">
        <f>'Financial Statement Walmart'!B29</f>
        <v>4464</v>
      </c>
      <c r="G19" s="22">
        <f>'Financial Statement Walmart'!C29</f>
        <v>4665</v>
      </c>
      <c r="H19" s="22">
        <f>'Financial Statement Walmart'!D29</f>
        <v>4522</v>
      </c>
      <c r="I19" s="23">
        <f>'Financial Statement Walmart'!E29</f>
        <v>4128</v>
      </c>
    </row>
    <row r="20" spans="1:9" x14ac:dyDescent="0.3">
      <c r="A20" s="19" t="s">
        <v>353</v>
      </c>
      <c r="B20" s="24">
        <f>SUM(B14:B19)</f>
        <v>317558</v>
      </c>
      <c r="C20" s="24">
        <f>SUM(C14:C19)</f>
        <v>387991</v>
      </c>
      <c r="D20" s="24">
        <f>SUM(D14:D19)</f>
        <v>434677</v>
      </c>
      <c r="E20" s="24">
        <f>SUM(E14:E19)</f>
        <v>503445</v>
      </c>
      <c r="F20" s="24">
        <f t="shared" ref="F20:I20" si="9">SUM(F14:F19)</f>
        <v>217212</v>
      </c>
      <c r="G20" s="24">
        <f t="shared" si="9"/>
        <v>223403</v>
      </c>
      <c r="H20" s="24">
        <f t="shared" si="9"/>
        <v>234083</v>
      </c>
      <c r="I20" s="25">
        <f t="shared" si="9"/>
        <v>247545</v>
      </c>
    </row>
    <row r="21" spans="1:9" x14ac:dyDescent="0.3">
      <c r="A21" s="19"/>
      <c r="B21" s="6"/>
      <c r="I21" s="26"/>
    </row>
    <row r="22" spans="1:9" x14ac:dyDescent="0.3">
      <c r="A22" s="19" t="s">
        <v>355</v>
      </c>
      <c r="B22" s="6"/>
      <c r="I22" s="26"/>
    </row>
    <row r="23" spans="1:9" x14ac:dyDescent="0.3">
      <c r="A23" s="21" t="s">
        <v>35</v>
      </c>
      <c r="B23" s="22">
        <f>'Financial Statement Amazon'!B37</f>
        <v>78664</v>
      </c>
      <c r="C23" s="22">
        <f>'Financial Statement Amazon'!C37</f>
        <v>79600</v>
      </c>
      <c r="D23" s="22">
        <f>'Financial Statement Amazon'!D37</f>
        <v>84981</v>
      </c>
      <c r="E23" s="22">
        <f>'Financial Statement Amazon'!E37</f>
        <v>94363</v>
      </c>
      <c r="F23" s="22">
        <f>'Financial Statement Walmart'!B37</f>
        <v>55261</v>
      </c>
      <c r="G23" s="22">
        <f>'Financial Statement Walmart'!C37</f>
        <v>53742</v>
      </c>
      <c r="H23" s="22">
        <f>'Financial Statement Walmart'!D37</f>
        <v>56812</v>
      </c>
      <c r="I23" s="23">
        <f>'Financial Statement Walmart'!E37</f>
        <v>58666</v>
      </c>
    </row>
    <row r="24" spans="1:9" x14ac:dyDescent="0.3">
      <c r="A24" s="21" t="s">
        <v>352</v>
      </c>
      <c r="B24" s="22">
        <v>0</v>
      </c>
      <c r="C24" s="22">
        <v>0</v>
      </c>
      <c r="D24" s="22">
        <v>0</v>
      </c>
      <c r="E24" s="22">
        <v>0</v>
      </c>
      <c r="F24" s="22">
        <f>'Financial Statement Walmart'!B40</f>
        <v>23480</v>
      </c>
      <c r="G24" s="22">
        <f>'Financial Statement Walmart'!C40</f>
        <v>25689</v>
      </c>
      <c r="H24" s="22">
        <f>'Financial Statement Walmart'!D40</f>
        <v>26095</v>
      </c>
      <c r="I24" s="23">
        <f>'Financial Statement Walmart'!E40</f>
        <v>26590</v>
      </c>
    </row>
    <row r="25" spans="1:9" x14ac:dyDescent="0.3">
      <c r="A25" s="21" t="s">
        <v>366</v>
      </c>
      <c r="B25" s="22">
        <v>0</v>
      </c>
      <c r="C25" s="22">
        <v>0</v>
      </c>
      <c r="D25" s="22">
        <v>0</v>
      </c>
      <c r="E25" s="22">
        <v>0</v>
      </c>
      <c r="F25" s="22">
        <f>'Financial Statement Walmart'!B54</f>
        <v>6917</v>
      </c>
      <c r="G25" s="22">
        <f>'Financial Statement Walmart'!C54</f>
        <v>7269</v>
      </c>
      <c r="H25" s="22">
        <f>'Financial Statement Walmart'!D54</f>
        <v>7248</v>
      </c>
      <c r="I25" s="23">
        <f>'Financial Statement Walmart'!E54</f>
        <v>7019</v>
      </c>
    </row>
    <row r="26" spans="1:9" x14ac:dyDescent="0.3">
      <c r="A26" s="21" t="s">
        <v>357</v>
      </c>
      <c r="B26" s="22">
        <f>'Financial Statement Amazon'!B52</f>
        <v>17443</v>
      </c>
      <c r="C26" s="22">
        <f>'Financial Statement Amazon'!C52</f>
        <v>14421</v>
      </c>
      <c r="D26" s="22">
        <f>'Financial Statement Amazon'!D52</f>
        <v>18851</v>
      </c>
      <c r="E26" s="22">
        <f>'Financial Statement Amazon'!E52</f>
        <v>21493</v>
      </c>
      <c r="F26" s="22">
        <f>'Financial Statement Walmart'!B52</f>
        <v>6557</v>
      </c>
      <c r="G26" s="22">
        <f>'Financial Statement Walmart'!C52</f>
        <v>7419</v>
      </c>
      <c r="H26" s="22">
        <f>'Financial Statement Walmart'!D52</f>
        <v>7381</v>
      </c>
      <c r="I26" s="23">
        <f>'Financial Statement Walmart'!E52</f>
        <v>7379</v>
      </c>
    </row>
    <row r="27" spans="1:9" x14ac:dyDescent="0.3">
      <c r="A27" s="19" t="s">
        <v>356</v>
      </c>
      <c r="B27" s="27">
        <f>SUM(B23:B26)</f>
        <v>96107</v>
      </c>
      <c r="C27" s="27">
        <f>SUM(C23:C26)</f>
        <v>94021</v>
      </c>
      <c r="D27" s="27">
        <f>SUM(D23:D26)</f>
        <v>103832</v>
      </c>
      <c r="E27" s="27">
        <f>SUM(E23:E26)</f>
        <v>115856</v>
      </c>
      <c r="F27" s="27">
        <f>SUM(F23:F26)</f>
        <v>92215</v>
      </c>
      <c r="G27" s="27">
        <f t="shared" ref="G27:I27" si="10">SUM(G23:G26)</f>
        <v>94119</v>
      </c>
      <c r="H27" s="27">
        <f t="shared" si="10"/>
        <v>97536</v>
      </c>
      <c r="I27" s="28">
        <f t="shared" si="10"/>
        <v>99654</v>
      </c>
    </row>
    <row r="28" spans="1:9" x14ac:dyDescent="0.3">
      <c r="A28" s="19"/>
      <c r="B28" s="6"/>
      <c r="I28" s="26"/>
    </row>
    <row r="29" spans="1:9" ht="15" thickBot="1" x14ac:dyDescent="0.35">
      <c r="A29" s="29" t="s">
        <v>345</v>
      </c>
      <c r="B29" s="30">
        <f>B20-B27</f>
        <v>221451</v>
      </c>
      <c r="C29" s="30">
        <f>C20-C27</f>
        <v>293970</v>
      </c>
      <c r="D29" s="30">
        <f>D20-D27</f>
        <v>330845</v>
      </c>
      <c r="E29" s="30">
        <f>E20-E27</f>
        <v>387589</v>
      </c>
      <c r="F29" s="30">
        <f t="shared" ref="F29:I29" si="11">F20-F27</f>
        <v>124997</v>
      </c>
      <c r="G29" s="30">
        <f t="shared" si="11"/>
        <v>129284</v>
      </c>
      <c r="H29" s="30">
        <f t="shared" si="11"/>
        <v>136547</v>
      </c>
      <c r="I29" s="31">
        <f t="shared" si="11"/>
        <v>147891</v>
      </c>
    </row>
    <row r="30" spans="1:9" ht="15" thickBot="1" x14ac:dyDescent="0.35"/>
    <row r="31" spans="1:9" x14ac:dyDescent="0.3">
      <c r="B31" s="70" t="s">
        <v>282</v>
      </c>
      <c r="C31" s="71"/>
      <c r="D31" s="71"/>
      <c r="E31" s="72"/>
      <c r="F31" s="70" t="s">
        <v>284</v>
      </c>
      <c r="G31" s="71"/>
      <c r="H31" s="71"/>
      <c r="I31" s="73"/>
    </row>
    <row r="32" spans="1:9" ht="15" thickBot="1" x14ac:dyDescent="0.35">
      <c r="B32" s="7">
        <v>2021</v>
      </c>
      <c r="C32" s="7">
        <v>2022</v>
      </c>
      <c r="D32" s="7">
        <v>2023</v>
      </c>
      <c r="E32" s="7">
        <v>2024</v>
      </c>
      <c r="F32" s="7">
        <v>2021</v>
      </c>
      <c r="G32" s="7">
        <v>2022</v>
      </c>
      <c r="H32" s="7">
        <v>2023</v>
      </c>
      <c r="I32" s="20">
        <v>2024</v>
      </c>
    </row>
    <row r="33" spans="1:9" x14ac:dyDescent="0.3">
      <c r="A33" s="33" t="s">
        <v>363</v>
      </c>
      <c r="B33" s="34"/>
      <c r="C33" s="34"/>
      <c r="D33" s="34"/>
      <c r="E33" s="34"/>
      <c r="F33" s="34"/>
      <c r="G33" s="34"/>
      <c r="H33" s="34"/>
      <c r="I33" s="35"/>
    </row>
    <row r="34" spans="1:9" x14ac:dyDescent="0.3">
      <c r="A34" s="21" t="s">
        <v>32</v>
      </c>
      <c r="B34" s="22">
        <f>'Financial Statement Amazon'!B34</f>
        <v>17162</v>
      </c>
      <c r="C34" s="22">
        <f>'Financial Statement Amazon'!C34</f>
        <v>23120</v>
      </c>
      <c r="D34" s="22">
        <f>'Financial Statement Amazon'!D34</f>
        <v>19561</v>
      </c>
      <c r="E34" s="22">
        <f>'Financial Statement Amazon'!E34</f>
        <v>17401</v>
      </c>
      <c r="F34" s="22">
        <f>'Financial Statement Walmart'!B34</f>
        <v>5207</v>
      </c>
      <c r="G34" s="22">
        <f>'Financial Statement Walmart'!C34</f>
        <v>6603</v>
      </c>
      <c r="H34" s="22">
        <f>'Financial Statement Walmart'!D34</f>
        <v>6537</v>
      </c>
      <c r="I34" s="23">
        <f>'Financial Statement Walmart'!E34</f>
        <v>7965</v>
      </c>
    </row>
    <row r="35" spans="1:9" x14ac:dyDescent="0.3">
      <c r="A35" s="19" t="s">
        <v>364</v>
      </c>
      <c r="I35" s="26"/>
    </row>
    <row r="36" spans="1:9" x14ac:dyDescent="0.3">
      <c r="A36" s="21" t="s">
        <v>46</v>
      </c>
      <c r="B36" s="22">
        <f>'Financial Statement Amazon'!B48</f>
        <v>49750</v>
      </c>
      <c r="C36" s="22">
        <f>'Financial Statement Amazon'!C48</f>
        <v>69500</v>
      </c>
      <c r="D36" s="22">
        <f>'Financial Statement Amazon'!D48</f>
        <v>66500</v>
      </c>
      <c r="E36" s="22">
        <f>'Financial Statement Amazon'!E48</f>
        <v>58000</v>
      </c>
      <c r="F36" s="22">
        <f>'Financial Statement Walmart'!B48</f>
        <v>34864</v>
      </c>
      <c r="G36" s="22">
        <f>'Financial Statement Walmart'!C48</f>
        <v>34649</v>
      </c>
      <c r="H36" s="22">
        <f>'Financial Statement Walmart'!D48</f>
        <v>36132</v>
      </c>
      <c r="I36" s="23">
        <f>'Financial Statement Walmart'!E48</f>
        <v>33401</v>
      </c>
    </row>
    <row r="37" spans="1:9" ht="15" thickBot="1" x14ac:dyDescent="0.35">
      <c r="A37" s="29" t="s">
        <v>365</v>
      </c>
      <c r="B37" s="30">
        <f>B34+B36</f>
        <v>66912</v>
      </c>
      <c r="C37" s="30">
        <f t="shared" ref="C37:F37" si="12">C34+C36</f>
        <v>92620</v>
      </c>
      <c r="D37" s="30">
        <f t="shared" si="12"/>
        <v>86061</v>
      </c>
      <c r="E37" s="30">
        <f t="shared" si="12"/>
        <v>75401</v>
      </c>
      <c r="F37" s="30">
        <f t="shared" si="12"/>
        <v>40071</v>
      </c>
      <c r="G37" s="30">
        <f t="shared" ref="G37" si="13">G34+G36</f>
        <v>41252</v>
      </c>
      <c r="H37" s="30">
        <f t="shared" ref="H37" si="14">H34+H36</f>
        <v>42669</v>
      </c>
      <c r="I37" s="31">
        <f t="shared" ref="I37" si="15">I34+I36</f>
        <v>41366</v>
      </c>
    </row>
    <row r="41" spans="1:9" x14ac:dyDescent="0.3">
      <c r="A41" s="109" t="s">
        <v>416</v>
      </c>
      <c r="B41" s="40">
        <f>'Financial Statement Amazon'!E7</f>
        <v>101449</v>
      </c>
    </row>
    <row r="42" spans="1:9" x14ac:dyDescent="0.3">
      <c r="A42" s="109" t="s">
        <v>417</v>
      </c>
      <c r="B42" s="40">
        <f>'Financial Statement Amazon'!E34+'Financial Statement Amazon'!E43</f>
        <v>155401</v>
      </c>
    </row>
    <row r="43" spans="1:9" x14ac:dyDescent="0.3">
      <c r="A43" s="110" t="s">
        <v>418</v>
      </c>
      <c r="B43" s="27">
        <f>B42-B41</f>
        <v>53952</v>
      </c>
    </row>
  </sheetData>
  <mergeCells count="7">
    <mergeCell ref="B31:E31"/>
    <mergeCell ref="F31:I31"/>
    <mergeCell ref="B1:D1"/>
    <mergeCell ref="A1:A2"/>
    <mergeCell ref="E1:G1"/>
    <mergeCell ref="B12:E12"/>
    <mergeCell ref="F12:I12"/>
  </mergeCells>
  <pageMargins left="0.7" right="0.7" top="0.75" bottom="0.75" header="0.3" footer="0.3"/>
  <ignoredErrors>
    <ignoredError sqref="C20:E20" emptyCellReferenc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27138-905D-45FF-9BCF-01C838DF7266}">
  <dimension ref="A1:J26"/>
  <sheetViews>
    <sheetView showGridLines="0" workbookViewId="0">
      <selection activeCell="J26" sqref="J26"/>
    </sheetView>
  </sheetViews>
  <sheetFormatPr defaultRowHeight="14.4" x14ac:dyDescent="0.3"/>
  <cols>
    <col min="5" max="7" width="7" bestFit="1" customWidth="1"/>
    <col min="8" max="10" width="8" bestFit="1" customWidth="1"/>
  </cols>
  <sheetData>
    <row r="1" spans="1:10" ht="15" thickBot="1" x14ac:dyDescent="0.35"/>
    <row r="2" spans="1:10" x14ac:dyDescent="0.3">
      <c r="A2" s="85" t="s">
        <v>380</v>
      </c>
      <c r="B2" s="86"/>
      <c r="C2" s="86"/>
      <c r="D2" s="86"/>
      <c r="E2" s="86"/>
      <c r="F2" s="86"/>
      <c r="G2" s="86"/>
      <c r="H2" s="86"/>
      <c r="I2" s="86"/>
      <c r="J2" s="87"/>
    </row>
    <row r="3" spans="1:10" x14ac:dyDescent="0.3">
      <c r="A3" s="58"/>
      <c r="B3" s="11"/>
      <c r="C3" s="11"/>
      <c r="D3" s="88" t="s">
        <v>282</v>
      </c>
      <c r="E3" s="88"/>
      <c r="F3" s="88"/>
      <c r="G3" s="88"/>
      <c r="H3" s="88" t="s">
        <v>284</v>
      </c>
      <c r="I3" s="89"/>
      <c r="J3" s="90"/>
    </row>
    <row r="4" spans="1:10" x14ac:dyDescent="0.3">
      <c r="A4" s="91" t="s">
        <v>371</v>
      </c>
      <c r="B4" s="88"/>
      <c r="C4" s="88"/>
      <c r="D4" s="15"/>
      <c r="E4" s="15">
        <v>2022</v>
      </c>
      <c r="F4" s="15">
        <v>2023</v>
      </c>
      <c r="G4" s="15">
        <v>2024</v>
      </c>
      <c r="H4" s="15">
        <v>2022</v>
      </c>
      <c r="I4" s="15">
        <v>2023</v>
      </c>
      <c r="J4" s="59">
        <v>2024</v>
      </c>
    </row>
    <row r="5" spans="1:10" x14ac:dyDescent="0.3">
      <c r="A5" s="80"/>
      <c r="B5" s="77"/>
      <c r="C5" s="77"/>
      <c r="D5" s="12"/>
      <c r="E5" s="12"/>
      <c r="F5" s="12"/>
      <c r="G5" s="12"/>
      <c r="H5" s="12"/>
      <c r="I5" s="12"/>
      <c r="J5" s="60"/>
    </row>
    <row r="6" spans="1:10" x14ac:dyDescent="0.3">
      <c r="A6" s="81" t="s">
        <v>372</v>
      </c>
      <c r="B6" s="82"/>
      <c r="C6" s="82"/>
      <c r="D6" s="82"/>
      <c r="E6" s="82"/>
      <c r="F6" s="82"/>
      <c r="G6" s="82"/>
      <c r="H6" s="82"/>
      <c r="I6" s="82"/>
      <c r="J6" s="83"/>
    </row>
    <row r="7" spans="1:10" x14ac:dyDescent="0.3">
      <c r="A7" s="76" t="s">
        <v>373</v>
      </c>
      <c r="B7" s="84"/>
      <c r="C7" s="84"/>
      <c r="D7" s="12"/>
      <c r="E7" s="55">
        <f>'Key Ratios'!B6</f>
        <v>-1.914959477712742E-2</v>
      </c>
      <c r="F7" s="55">
        <f>'Key Ratios'!C6</f>
        <v>0.1748975333268184</v>
      </c>
      <c r="G7" s="55">
        <f>'Key Ratios'!D6</f>
        <v>0.24289682173641219</v>
      </c>
      <c r="H7" s="55">
        <f>'Key Ratios'!E6</f>
        <v>0.13299553075806314</v>
      </c>
      <c r="I7" s="55">
        <f>'Key Ratios'!F6</f>
        <v>0.17818188084065179</v>
      </c>
      <c r="J7" s="61">
        <f>'Key Ratios'!G6</f>
        <v>0.20701922564839964</v>
      </c>
    </row>
    <row r="8" spans="1:10" x14ac:dyDescent="0.3">
      <c r="A8" s="80"/>
      <c r="B8" s="77"/>
      <c r="C8" s="77"/>
      <c r="D8" s="12"/>
      <c r="E8" s="12"/>
      <c r="F8" s="12"/>
      <c r="G8" s="12"/>
      <c r="H8" s="12"/>
      <c r="I8" s="12"/>
      <c r="J8" s="60"/>
    </row>
    <row r="9" spans="1:10" x14ac:dyDescent="0.3">
      <c r="A9" s="76" t="s">
        <v>374</v>
      </c>
      <c r="B9" s="77"/>
      <c r="C9" s="77"/>
      <c r="D9" s="12"/>
      <c r="E9" s="55">
        <f>'Key Ratios'!B11</f>
        <v>-6.1637817812921752E-3</v>
      </c>
      <c r="F9" s="55">
        <f>'Key Ratios'!C11</f>
        <v>6.143182077455582E-2</v>
      </c>
      <c r="G9" s="55">
        <f>'Key Ratios'!D11</f>
        <v>0.10279436615808485</v>
      </c>
      <c r="H9" s="55">
        <f>'Key Ratios'!E11</f>
        <v>4.7863261873100887E-2</v>
      </c>
      <c r="I9" s="55">
        <f>'Key Ratios'!F11</f>
        <v>6.2595339752540377E-2</v>
      </c>
      <c r="J9" s="61">
        <f>'Key Ratios'!G11</f>
        <v>7.5741102291016368E-2</v>
      </c>
    </row>
    <row r="10" spans="1:10" x14ac:dyDescent="0.3">
      <c r="A10" s="80"/>
      <c r="B10" s="77"/>
      <c r="C10" s="77"/>
      <c r="D10" s="12"/>
      <c r="E10" s="12"/>
      <c r="F10" s="12"/>
      <c r="G10" s="12"/>
      <c r="H10" s="12"/>
      <c r="I10" s="12"/>
      <c r="J10" s="60"/>
    </row>
    <row r="11" spans="1:10" x14ac:dyDescent="0.3">
      <c r="A11" s="76" t="s">
        <v>375</v>
      </c>
      <c r="B11" s="77"/>
      <c r="C11" s="77"/>
      <c r="D11" s="12"/>
      <c r="E11" s="56">
        <f>'Key Ratios'!B82</f>
        <v>3.1067931112111662</v>
      </c>
      <c r="F11" s="56">
        <f>'Key Ratios'!C82</f>
        <v>2.8470185503480705</v>
      </c>
      <c r="G11" s="56">
        <f>'Key Ratios'!D82</f>
        <v>2.3629390482632804</v>
      </c>
      <c r="H11" s="56">
        <f>'Key Ratios'!E82</f>
        <v>2.7786558114378432</v>
      </c>
      <c r="I11" s="56">
        <f>'Key Ratios'!F82</f>
        <v>2.8465678362808222</v>
      </c>
      <c r="J11" s="62">
        <f>'Key Ratios'!G82</f>
        <v>2.7332481227033072</v>
      </c>
    </row>
    <row r="12" spans="1:10" x14ac:dyDescent="0.3">
      <c r="A12" s="80"/>
      <c r="B12" s="77"/>
      <c r="C12" s="77"/>
      <c r="D12" s="12"/>
      <c r="E12" s="12"/>
      <c r="F12" s="12"/>
      <c r="G12" s="12"/>
      <c r="H12" s="12"/>
      <c r="I12" s="12"/>
      <c r="J12" s="60"/>
    </row>
    <row r="13" spans="1:10" x14ac:dyDescent="0.3">
      <c r="A13" s="81" t="s">
        <v>376</v>
      </c>
      <c r="B13" s="82"/>
      <c r="C13" s="82"/>
      <c r="D13" s="82"/>
      <c r="E13" s="82"/>
      <c r="F13" s="82"/>
      <c r="G13" s="82"/>
      <c r="H13" s="82"/>
      <c r="I13" s="82"/>
      <c r="J13" s="83"/>
    </row>
    <row r="14" spans="1:10" x14ac:dyDescent="0.3">
      <c r="A14" s="80" t="s">
        <v>362</v>
      </c>
      <c r="B14" s="77"/>
      <c r="C14" s="77"/>
      <c r="D14" s="12"/>
      <c r="E14" s="55">
        <f>'Key Ratios'!B87</f>
        <v>2.4120136269098393E-2</v>
      </c>
      <c r="F14" s="55">
        <f>'Key Ratios'!C87</f>
        <v>5.2064197917482194E-2</v>
      </c>
      <c r="G14" s="55">
        <f>'Key Ratios'!D87</f>
        <v>9.4319462535993687E-2</v>
      </c>
      <c r="H14" s="55">
        <f>'Key Ratios'!E87</f>
        <v>2.6063525401779183E-2</v>
      </c>
      <c r="I14" s="55">
        <f>'Key Ratios'!F87</f>
        <v>2.8736219234765856E-2</v>
      </c>
      <c r="J14" s="61">
        <f>'Key Ratios'!G87</f>
        <v>3.3354347012048723E-2</v>
      </c>
    </row>
    <row r="15" spans="1:10" x14ac:dyDescent="0.3">
      <c r="A15" s="80"/>
      <c r="B15" s="77"/>
      <c r="C15" s="77"/>
      <c r="D15" s="12"/>
      <c r="E15" s="12"/>
      <c r="F15" s="12"/>
      <c r="G15" s="12"/>
      <c r="H15" s="12"/>
      <c r="I15" s="12"/>
      <c r="J15" s="60"/>
    </row>
    <row r="16" spans="1:10" x14ac:dyDescent="0.3">
      <c r="A16" s="80" t="s">
        <v>377</v>
      </c>
      <c r="B16" s="77"/>
      <c r="C16" s="77"/>
      <c r="D16" s="12"/>
      <c r="E16" s="56">
        <f>'Key Ratios'!B92</f>
        <v>1.9944200954171445</v>
      </c>
      <c r="F16" s="56">
        <f>'Key Ratios'!C92</f>
        <v>1.8398565975528756</v>
      </c>
      <c r="G16" s="56">
        <f>'Key Ratios'!D92</f>
        <v>1.7759710704114784</v>
      </c>
      <c r="H16" s="56">
        <f>'Key Ratios'!E92</f>
        <v>2.3741616041015559</v>
      </c>
      <c r="I16" s="56">
        <f>'Key Ratios'!F92</f>
        <v>5.0789244969148308</v>
      </c>
      <c r="J16" s="62">
        <f>'Key Ratios'!G92</f>
        <v>5.1234430897826062</v>
      </c>
    </row>
    <row r="17" spans="1:10" x14ac:dyDescent="0.3">
      <c r="A17" s="80"/>
      <c r="B17" s="77"/>
      <c r="C17" s="77"/>
      <c r="D17" s="12"/>
      <c r="E17" s="12"/>
      <c r="F17" s="12"/>
      <c r="G17" s="12"/>
      <c r="H17" s="12"/>
      <c r="I17" s="12"/>
      <c r="J17" s="60"/>
    </row>
    <row r="18" spans="1:10" x14ac:dyDescent="0.3">
      <c r="A18" s="80" t="s">
        <v>378</v>
      </c>
      <c r="B18" s="77"/>
      <c r="C18" s="77"/>
      <c r="D18" s="12"/>
      <c r="E18" s="55">
        <f>'Key Ratios'!B16</f>
        <v>4.810568447928975E-2</v>
      </c>
      <c r="F18" s="55">
        <f>'Key Ratios'!C16</f>
        <v>9.5790658034778292E-2</v>
      </c>
      <c r="G18" s="55">
        <f>'Key Ratios'!D16</f>
        <v>0.16750863684068404</v>
      </c>
      <c r="H18" s="55">
        <f>'Key Ratios'!E16</f>
        <v>6.1879021276429712E-2</v>
      </c>
      <c r="I18" s="55">
        <f>'Key Ratios'!F16</f>
        <v>0.14594908782016747</v>
      </c>
      <c r="J18" s="61">
        <f>'Key Ratios'!G16</f>
        <v>0.17088909871309216</v>
      </c>
    </row>
    <row r="19" spans="1:10" x14ac:dyDescent="0.3">
      <c r="A19" s="80"/>
      <c r="B19" s="77"/>
      <c r="C19" s="77"/>
      <c r="D19" s="12"/>
      <c r="E19" s="12"/>
      <c r="F19" s="12"/>
      <c r="G19" s="12"/>
      <c r="H19" s="12"/>
      <c r="I19" s="12"/>
      <c r="J19" s="60"/>
    </row>
    <row r="20" spans="1:10" x14ac:dyDescent="0.3">
      <c r="A20" s="81" t="s">
        <v>379</v>
      </c>
      <c r="B20" s="82"/>
      <c r="C20" s="82"/>
      <c r="D20" s="82"/>
      <c r="E20" s="82"/>
      <c r="F20" s="82"/>
      <c r="G20" s="82"/>
      <c r="H20" s="82"/>
      <c r="I20" s="82"/>
      <c r="J20" s="83"/>
    </row>
    <row r="21" spans="1:10" x14ac:dyDescent="0.3">
      <c r="A21" s="80"/>
      <c r="B21" s="77"/>
      <c r="C21" s="77"/>
      <c r="D21" s="12"/>
      <c r="E21" s="12"/>
      <c r="F21" s="12"/>
      <c r="G21" s="12"/>
      <c r="H21" s="12"/>
      <c r="I21" s="12"/>
      <c r="J21" s="60"/>
    </row>
    <row r="22" spans="1:10" x14ac:dyDescent="0.3">
      <c r="A22" s="76" t="s">
        <v>333</v>
      </c>
      <c r="B22" s="84"/>
      <c r="C22" s="84"/>
      <c r="D22" s="12"/>
      <c r="E22" s="55">
        <f>'Key Ratios'!B97</f>
        <v>0.48654527484372051</v>
      </c>
      <c r="F22" s="55">
        <f>'Key Ratios'!C97</f>
        <v>0.52240576911366854</v>
      </c>
      <c r="G22" s="55">
        <f>'Key Ratios'!D97</f>
        <v>0.53880892032246586</v>
      </c>
      <c r="H22" s="55">
        <f>'Key Ratios'!E97</f>
        <v>0.25589130967113188</v>
      </c>
      <c r="I22" s="55">
        <f>'Key Ratios'!F97</f>
        <v>0.25931300204262725</v>
      </c>
      <c r="J22" s="61">
        <f>'Key Ratios'!G97</f>
        <v>0.26756095949249986</v>
      </c>
    </row>
    <row r="23" spans="1:10" x14ac:dyDescent="0.3">
      <c r="A23" s="80"/>
      <c r="B23" s="77"/>
      <c r="C23" s="77"/>
      <c r="D23" s="12"/>
      <c r="E23" s="12"/>
      <c r="F23" s="12"/>
      <c r="G23" s="12"/>
      <c r="H23" s="12"/>
      <c r="I23" s="12"/>
      <c r="J23" s="60"/>
    </row>
    <row r="24" spans="1:10" x14ac:dyDescent="0.3">
      <c r="A24" s="76" t="s">
        <v>335</v>
      </c>
      <c r="B24" s="77"/>
      <c r="C24" s="77"/>
      <c r="D24" s="12"/>
      <c r="E24" s="57">
        <f>'Key Ratios'!B102</f>
        <v>2.5111725485084137E-2</v>
      </c>
      <c r="F24" s="57">
        <f>'Key Ratios'!C102</f>
        <v>6.4220534634689491E-2</v>
      </c>
      <c r="G24" s="57">
        <f>'Key Ratios'!D102</f>
        <v>0.10884398527178078</v>
      </c>
      <c r="H24" s="57">
        <f>'Key Ratios'!E102</f>
        <v>3.5817059201519848E-2</v>
      </c>
      <c r="I24" s="57">
        <f>'Key Ratios'!F102</f>
        <v>3.8277193346517233E-2</v>
      </c>
      <c r="J24" s="63">
        <f>'Key Ratios'!G102</f>
        <v>4.3325477066308363E-2</v>
      </c>
    </row>
    <row r="25" spans="1:10" x14ac:dyDescent="0.3">
      <c r="A25" s="76"/>
      <c r="B25" s="77"/>
      <c r="C25" s="77"/>
      <c r="D25" s="12"/>
      <c r="E25" s="55"/>
      <c r="F25" s="55"/>
      <c r="G25" s="55"/>
      <c r="H25" s="12"/>
      <c r="I25" s="12"/>
      <c r="J25" s="60"/>
    </row>
    <row r="26" spans="1:10" ht="15" thickBot="1" x14ac:dyDescent="0.35">
      <c r="A26" s="78" t="s">
        <v>337</v>
      </c>
      <c r="B26" s="79"/>
      <c r="C26" s="79"/>
      <c r="D26" s="64"/>
      <c r="E26" s="65">
        <f>'Key Ratios'!B107</f>
        <v>-5.2958950004183018E-3</v>
      </c>
      <c r="F26" s="65">
        <f>'Key Ratios'!C107</f>
        <v>5.2932835755978319E-2</v>
      </c>
      <c r="G26" s="65">
        <f>'Key Ratios'!D107</f>
        <v>9.2871171971866534E-2</v>
      </c>
      <c r="H26" s="65">
        <f>'Key Ratios'!E107</f>
        <v>1.919534052829916E-2</v>
      </c>
      <c r="I26" s="65">
        <f>'Key Ratios'!F107</f>
        <v>2.402061520402269E-2</v>
      </c>
      <c r="J26" s="66">
        <f>'Key Ratios'!G107</f>
        <v>2.8541010448100913E-2</v>
      </c>
    </row>
  </sheetData>
  <mergeCells count="26">
    <mergeCell ref="A6:J6"/>
    <mergeCell ref="A2:J2"/>
    <mergeCell ref="D3:G3"/>
    <mergeCell ref="H3:J3"/>
    <mergeCell ref="A4:C4"/>
    <mergeCell ref="A5:C5"/>
    <mergeCell ref="A18:C18"/>
    <mergeCell ref="A7:C7"/>
    <mergeCell ref="A8:C8"/>
    <mergeCell ref="A9:C9"/>
    <mergeCell ref="A10:C10"/>
    <mergeCell ref="A11:C11"/>
    <mergeCell ref="A12:C12"/>
    <mergeCell ref="A13:J13"/>
    <mergeCell ref="A14:C14"/>
    <mergeCell ref="A15:C15"/>
    <mergeCell ref="A16:C16"/>
    <mergeCell ref="A17:C17"/>
    <mergeCell ref="A25:C25"/>
    <mergeCell ref="A26:C26"/>
    <mergeCell ref="A19:C19"/>
    <mergeCell ref="A20:J20"/>
    <mergeCell ref="A21:C21"/>
    <mergeCell ref="A22:C22"/>
    <mergeCell ref="A23:C23"/>
    <mergeCell ref="A24:C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AE001-1C4B-4997-91A2-1396B0FE2C1F}">
  <dimension ref="A1:E20"/>
  <sheetViews>
    <sheetView workbookViewId="0">
      <selection activeCell="G13" sqref="G13"/>
    </sheetView>
  </sheetViews>
  <sheetFormatPr defaultRowHeight="14.4" x14ac:dyDescent="0.3"/>
  <cols>
    <col min="1" max="1" width="28.77734375" bestFit="1" customWidth="1"/>
    <col min="2" max="2" width="34.5546875" bestFit="1" customWidth="1"/>
    <col min="3" max="5" width="8.5546875" bestFit="1" customWidth="1"/>
  </cols>
  <sheetData>
    <row r="1" spans="1:5" x14ac:dyDescent="0.3">
      <c r="A1" s="6" t="s">
        <v>388</v>
      </c>
    </row>
    <row r="3" spans="1:5" x14ac:dyDescent="0.3">
      <c r="A3" s="67" t="s">
        <v>381</v>
      </c>
      <c r="B3" s="67" t="s">
        <v>390</v>
      </c>
      <c r="C3" s="67">
        <v>2022</v>
      </c>
      <c r="D3" s="67">
        <f>C3+1</f>
        <v>2023</v>
      </c>
      <c r="E3" s="67">
        <f>D3+1</f>
        <v>2024</v>
      </c>
    </row>
    <row r="4" spans="1:5" x14ac:dyDescent="0.3">
      <c r="A4" s="12"/>
      <c r="B4" s="12"/>
      <c r="C4" s="12"/>
      <c r="D4" s="12"/>
      <c r="E4" s="12"/>
    </row>
    <row r="5" spans="1:5" x14ac:dyDescent="0.3">
      <c r="A5" s="12" t="s">
        <v>382</v>
      </c>
      <c r="B5" s="12" t="s">
        <v>398</v>
      </c>
      <c r="C5" s="56">
        <f>360*('Key Ratios'!B25/'Key Ratios'!B24)</f>
        <v>21.467636089131354</v>
      </c>
      <c r="D5" s="56">
        <f>360*('Key Ratios'!C25/'Key Ratios'!C24)</f>
        <v>25.585218820950441</v>
      </c>
      <c r="E5" s="56">
        <f>360*('Key Ratios'!D25/'Key Ratios'!D24)</f>
        <v>27.142810117891589</v>
      </c>
    </row>
    <row r="6" spans="1:5" x14ac:dyDescent="0.3">
      <c r="A6" s="12" t="s">
        <v>383</v>
      </c>
      <c r="B6" s="12" t="s">
        <v>384</v>
      </c>
      <c r="C6" s="56">
        <f>360*('Key Ratios'!B20/'Key Ratios'!B24)</f>
        <v>22.838693108526932</v>
      </c>
      <c r="D6" s="56">
        <f>360*('Key Ratios'!C20/'Key Ratios'!C24)</f>
        <v>20.600641979174824</v>
      </c>
      <c r="E6" s="56">
        <f>360*('Key Ratios'!D20/'Key Ratios'!D24)</f>
        <v>18.492661754125265</v>
      </c>
    </row>
    <row r="7" spans="1:5" x14ac:dyDescent="0.3">
      <c r="A7" s="12" t="s">
        <v>385</v>
      </c>
      <c r="B7" s="12" t="s">
        <v>386</v>
      </c>
      <c r="C7" s="56">
        <f>360*('Key Ratios'!B30/'Key Ratios'!B24)</f>
        <v>55.425023784833357</v>
      </c>
      <c r="D7" s="56">
        <f>360*('Key Ratios'!C30/'Key Ratios'!C24)</f>
        <v>51.540280278712906</v>
      </c>
      <c r="E7" s="56">
        <f>360*('Key Ratios'!D30/'Key Ratios'!D24)</f>
        <v>50.601872534128368</v>
      </c>
    </row>
    <row r="8" spans="1:5" x14ac:dyDescent="0.3">
      <c r="A8" s="12"/>
      <c r="B8" s="12"/>
      <c r="C8" s="12"/>
      <c r="D8" s="12"/>
      <c r="E8" s="12"/>
    </row>
    <row r="9" spans="1:5" x14ac:dyDescent="0.3">
      <c r="A9" s="12" t="s">
        <v>387</v>
      </c>
      <c r="B9" s="12"/>
      <c r="C9" s="56">
        <f>SUM(C5:C7)</f>
        <v>99.731352982491643</v>
      </c>
      <c r="D9" s="56">
        <f>SUM(D5:D7)</f>
        <v>97.726141078838168</v>
      </c>
      <c r="E9" s="56">
        <f>SUM(E5:E7)</f>
        <v>96.237344406145212</v>
      </c>
    </row>
    <row r="12" spans="1:5" x14ac:dyDescent="0.3">
      <c r="A12" s="6" t="s">
        <v>389</v>
      </c>
    </row>
    <row r="14" spans="1:5" x14ac:dyDescent="0.3">
      <c r="A14" s="67" t="s">
        <v>381</v>
      </c>
      <c r="B14" s="67" t="s">
        <v>390</v>
      </c>
      <c r="C14" s="67">
        <v>2022</v>
      </c>
      <c r="D14" s="67">
        <f>C14+1</f>
        <v>2023</v>
      </c>
      <c r="E14" s="67">
        <f>D14+1</f>
        <v>2024</v>
      </c>
    </row>
    <row r="15" spans="1:5" x14ac:dyDescent="0.3">
      <c r="A15" s="12"/>
      <c r="B15" s="12"/>
      <c r="C15" s="12"/>
      <c r="D15" s="12"/>
      <c r="E15" s="12"/>
    </row>
    <row r="16" spans="1:5" x14ac:dyDescent="0.3">
      <c r="A16" s="12" t="s">
        <v>382</v>
      </c>
      <c r="B16" s="12" t="s">
        <v>398</v>
      </c>
      <c r="C16" s="56">
        <f>360*('[1]Key Ratios'!H23/'[1]Key Ratios'!H22)</f>
        <v>54.18648648648648</v>
      </c>
      <c r="D16" s="56">
        <f>360*('[1]Key Ratios'!I23/'[1]Key Ratios'!I22)</f>
        <v>55.481711690174514</v>
      </c>
      <c r="E16" s="56">
        <f>360*('[1]Key Ratios'!J23/'[1]Key Ratios'!J22)</f>
        <v>52.248375758866764</v>
      </c>
    </row>
    <row r="17" spans="1:5" x14ac:dyDescent="0.3">
      <c r="A17" s="12" t="s">
        <v>383</v>
      </c>
      <c r="B17" s="12" t="s">
        <v>384</v>
      </c>
      <c r="C17" s="12">
        <v>0</v>
      </c>
      <c r="D17" s="12">
        <v>0</v>
      </c>
      <c r="E17" s="12">
        <v>0</v>
      </c>
    </row>
    <row r="18" spans="1:5" x14ac:dyDescent="0.3">
      <c r="A18" s="12" t="s">
        <v>385</v>
      </c>
      <c r="B18" s="12" t="s">
        <v>386</v>
      </c>
      <c r="C18" s="56">
        <f>360*('[1]Key Ratios'!H29/'[1]Key Ratios'!H22)</f>
        <v>13.491891891891891</v>
      </c>
      <c r="D18" s="56">
        <f>360*('[1]Key Ratios'!I29/'[1]Key Ratios'!I22)</f>
        <v>12.622519722687068</v>
      </c>
      <c r="E18" s="56">
        <f>360*('[1]Key Ratios'!J29/'[1]Key Ratios'!J22)</f>
        <v>11.266375545851529</v>
      </c>
    </row>
    <row r="19" spans="1:5" x14ac:dyDescent="0.3">
      <c r="A19" s="12"/>
      <c r="B19" s="12"/>
      <c r="C19" s="12"/>
      <c r="D19" s="12"/>
      <c r="E19" s="12"/>
    </row>
    <row r="20" spans="1:5" x14ac:dyDescent="0.3">
      <c r="A20" s="12" t="s">
        <v>387</v>
      </c>
      <c r="B20" s="12"/>
      <c r="C20" s="56">
        <f>SUM(C16:C18)</f>
        <v>67.678378378378369</v>
      </c>
      <c r="D20" s="56">
        <f>SUM(D16:D18)</f>
        <v>68.10423141286158</v>
      </c>
      <c r="E20" s="56">
        <f>SUM(E16:E18)</f>
        <v>63.514751304718295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4D77E-E37C-45E8-B4FF-3836A73F8B64}">
  <dimension ref="A1:E19"/>
  <sheetViews>
    <sheetView showGridLines="0" workbookViewId="0">
      <selection sqref="A1:E1"/>
    </sheetView>
  </sheetViews>
  <sheetFormatPr defaultRowHeight="14.4" x14ac:dyDescent="0.3"/>
  <cols>
    <col min="1" max="1" width="26.77734375" bestFit="1" customWidth="1"/>
    <col min="2" max="2" width="12.33203125" bestFit="1" customWidth="1"/>
    <col min="3" max="3" width="12.5546875" bestFit="1" customWidth="1"/>
    <col min="4" max="4" width="6.77734375" bestFit="1" customWidth="1"/>
    <col min="5" max="5" width="12" bestFit="1" customWidth="1"/>
  </cols>
  <sheetData>
    <row r="1" spans="1:5" x14ac:dyDescent="0.3">
      <c r="A1" s="94" t="s">
        <v>396</v>
      </c>
      <c r="B1" s="95"/>
      <c r="C1" s="95"/>
      <c r="D1" s="95"/>
      <c r="E1" s="96"/>
    </row>
    <row r="2" spans="1:5" x14ac:dyDescent="0.3">
      <c r="A2" s="97" t="s">
        <v>371</v>
      </c>
      <c r="B2" s="67"/>
      <c r="C2" s="67" t="s">
        <v>381</v>
      </c>
      <c r="D2" s="93" t="s">
        <v>391</v>
      </c>
      <c r="E2" s="98" t="s">
        <v>233</v>
      </c>
    </row>
    <row r="3" spans="1:5" x14ac:dyDescent="0.3">
      <c r="A3" s="99"/>
      <c r="B3" s="12"/>
      <c r="C3" s="12"/>
      <c r="D3" s="12"/>
      <c r="E3" s="60"/>
    </row>
    <row r="4" spans="1:5" x14ac:dyDescent="0.3">
      <c r="A4" s="99" t="s">
        <v>392</v>
      </c>
      <c r="B4" s="17">
        <f>'Key Ratios'!D60-'Key Ratios'!D61</f>
        <v>11436</v>
      </c>
      <c r="C4" s="12"/>
      <c r="D4" s="12"/>
      <c r="E4" s="60"/>
    </row>
    <row r="5" spans="1:5" x14ac:dyDescent="0.3">
      <c r="A5" s="99" t="s">
        <v>393</v>
      </c>
      <c r="B5" s="14">
        <f>'Financial Statement Amazon'!E32</f>
        <v>624894</v>
      </c>
      <c r="C5" s="92">
        <f>B4/B5</f>
        <v>1.8300703799364371E-2</v>
      </c>
      <c r="D5" s="12">
        <v>1.2</v>
      </c>
      <c r="E5" s="60">
        <f>C5*D5</f>
        <v>2.1960844559237244E-2</v>
      </c>
    </row>
    <row r="6" spans="1:5" x14ac:dyDescent="0.3">
      <c r="A6" s="99"/>
      <c r="B6" s="12"/>
      <c r="C6" s="12"/>
      <c r="D6" s="12"/>
      <c r="E6" s="60"/>
    </row>
    <row r="7" spans="1:5" x14ac:dyDescent="0.3">
      <c r="A7" s="99" t="s">
        <v>397</v>
      </c>
      <c r="B7" s="14">
        <f>'Financial Statement Amazon'!E65</f>
        <v>172832</v>
      </c>
      <c r="C7" s="12"/>
      <c r="D7" s="12"/>
      <c r="E7" s="60"/>
    </row>
    <row r="8" spans="1:5" x14ac:dyDescent="0.3">
      <c r="A8" s="99" t="s">
        <v>393</v>
      </c>
      <c r="B8" s="14">
        <f>B5</f>
        <v>624894</v>
      </c>
      <c r="C8" s="12">
        <f>B7/B8</f>
        <v>0.27657810764705693</v>
      </c>
      <c r="D8" s="12">
        <v>1.4</v>
      </c>
      <c r="E8" s="60">
        <f>C8*D8</f>
        <v>0.3872093507058797</v>
      </c>
    </row>
    <row r="9" spans="1:5" x14ac:dyDescent="0.3">
      <c r="A9" s="99"/>
      <c r="B9" s="12"/>
      <c r="C9" s="12"/>
      <c r="D9" s="12"/>
      <c r="E9" s="60"/>
    </row>
    <row r="10" spans="1:5" x14ac:dyDescent="0.3">
      <c r="A10" s="99" t="s">
        <v>394</v>
      </c>
      <c r="B10" s="14">
        <f>'Financial Statement Amazon'!E81</f>
        <v>69438</v>
      </c>
      <c r="C10" s="12"/>
      <c r="D10" s="12"/>
      <c r="E10" s="60"/>
    </row>
    <row r="11" spans="1:5" x14ac:dyDescent="0.3">
      <c r="A11" s="99" t="s">
        <v>393</v>
      </c>
      <c r="B11" s="17">
        <f>B8</f>
        <v>624894</v>
      </c>
      <c r="C11" s="12">
        <f>B10/B11</f>
        <v>0.11111964589194327</v>
      </c>
      <c r="D11" s="12">
        <v>3.3</v>
      </c>
      <c r="E11" s="60">
        <f>C11*D11</f>
        <v>0.36669483144341281</v>
      </c>
    </row>
    <row r="12" spans="1:5" x14ac:dyDescent="0.3">
      <c r="A12" s="99"/>
      <c r="B12" s="12"/>
      <c r="C12" s="12"/>
      <c r="D12" s="12"/>
      <c r="E12" s="60"/>
    </row>
    <row r="13" spans="1:5" x14ac:dyDescent="0.3">
      <c r="A13" s="99" t="s">
        <v>395</v>
      </c>
      <c r="B13" s="14">
        <v>2390000</v>
      </c>
      <c r="C13" s="12"/>
      <c r="D13" s="12"/>
      <c r="E13" s="60"/>
    </row>
    <row r="14" spans="1:5" x14ac:dyDescent="0.3">
      <c r="A14" s="99" t="s">
        <v>323</v>
      </c>
      <c r="B14" s="17">
        <f>'Key Ratios'!D70</f>
        <v>338924</v>
      </c>
      <c r="C14" s="12">
        <f>B13/B14</f>
        <v>7.0517284110892113</v>
      </c>
      <c r="D14" s="12">
        <v>0.6</v>
      </c>
      <c r="E14" s="60">
        <f>C14*D14</f>
        <v>4.231037046653527</v>
      </c>
    </row>
    <row r="15" spans="1:5" x14ac:dyDescent="0.3">
      <c r="A15" s="99"/>
      <c r="B15" s="12"/>
      <c r="C15" s="12"/>
      <c r="D15" s="12"/>
      <c r="E15" s="60"/>
    </row>
    <row r="16" spans="1:5" x14ac:dyDescent="0.3">
      <c r="A16" s="99" t="s">
        <v>296</v>
      </c>
      <c r="B16" s="14">
        <f>'Financial Statement Amazon'!E73</f>
        <v>637959</v>
      </c>
      <c r="C16" s="12"/>
      <c r="D16" s="12"/>
      <c r="E16" s="60"/>
    </row>
    <row r="17" spans="1:5" x14ac:dyDescent="0.3">
      <c r="A17" s="99" t="s">
        <v>393</v>
      </c>
      <c r="B17" s="14">
        <f>B11</f>
        <v>624894</v>
      </c>
      <c r="C17" s="12">
        <f>B16/B17</f>
        <v>1.0209075459197881</v>
      </c>
      <c r="D17" s="12">
        <v>0.99</v>
      </c>
      <c r="E17" s="60">
        <f>C17*D17</f>
        <v>1.0106984704605901</v>
      </c>
    </row>
    <row r="18" spans="1:5" x14ac:dyDescent="0.3">
      <c r="A18" s="99"/>
      <c r="B18" s="12"/>
      <c r="C18" s="12"/>
      <c r="D18" s="12"/>
      <c r="E18" s="60"/>
    </row>
    <row r="19" spans="1:5" ht="15" thickBot="1" x14ac:dyDescent="0.35">
      <c r="A19" s="100"/>
      <c r="B19" s="64"/>
      <c r="C19" s="64"/>
      <c r="D19" s="64"/>
      <c r="E19" s="101">
        <f>SUM(E5,E8,E11,E14,E17)</f>
        <v>6.0176005438226472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61402-C6D6-4AC6-8FFE-731CE68EC842}">
  <dimension ref="A1:H23"/>
  <sheetViews>
    <sheetView tabSelected="1" workbookViewId="0">
      <selection sqref="A1:J22"/>
    </sheetView>
  </sheetViews>
  <sheetFormatPr defaultRowHeight="14.4" x14ac:dyDescent="0.3"/>
  <cols>
    <col min="1" max="1" width="38.88671875" bestFit="1" customWidth="1"/>
    <col min="2" max="2" width="12.6640625" bestFit="1" customWidth="1"/>
    <col min="3" max="3" width="11.33203125" bestFit="1" customWidth="1"/>
    <col min="4" max="5" width="13.88671875" bestFit="1" customWidth="1"/>
    <col min="6" max="6" width="14.77734375" bestFit="1" customWidth="1"/>
    <col min="7" max="7" width="11.33203125" bestFit="1" customWidth="1"/>
  </cols>
  <sheetData>
    <row r="1" spans="1:8" x14ac:dyDescent="0.3">
      <c r="A1" s="106" t="s">
        <v>399</v>
      </c>
      <c r="B1" s="107"/>
      <c r="C1" s="107"/>
      <c r="D1" s="107"/>
      <c r="E1" s="107"/>
      <c r="F1" s="107"/>
    </row>
    <row r="2" spans="1:8" x14ac:dyDescent="0.3">
      <c r="H2" t="s">
        <v>413</v>
      </c>
    </row>
    <row r="3" spans="1:8" x14ac:dyDescent="0.3">
      <c r="A3" s="102" t="s">
        <v>412</v>
      </c>
      <c r="B3" s="54">
        <v>9.8000000000000004E-2</v>
      </c>
      <c r="D3" s="103" t="s">
        <v>400</v>
      </c>
      <c r="E3" s="104"/>
      <c r="F3" s="105">
        <v>0.03</v>
      </c>
    </row>
    <row r="5" spans="1:8" x14ac:dyDescent="0.3">
      <c r="A5" s="108"/>
      <c r="B5" s="108">
        <v>2024</v>
      </c>
      <c r="C5" s="108">
        <v>2025</v>
      </c>
      <c r="D5" s="108">
        <v>2026</v>
      </c>
      <c r="E5" s="108">
        <v>2027</v>
      </c>
      <c r="F5" s="108" t="s">
        <v>401</v>
      </c>
    </row>
    <row r="6" spans="1:8" x14ac:dyDescent="0.3">
      <c r="A6" s="12"/>
      <c r="B6" s="12"/>
      <c r="C6" s="12"/>
      <c r="D6" s="12"/>
      <c r="E6" s="12"/>
      <c r="F6" s="12"/>
    </row>
    <row r="7" spans="1:8" x14ac:dyDescent="0.3">
      <c r="A7" s="12" t="s">
        <v>296</v>
      </c>
      <c r="B7" s="14">
        <f>'Financial Statement Amazon'!E73</f>
        <v>637959</v>
      </c>
      <c r="C7" s="14">
        <f>B7*(1+2.5%)</f>
        <v>653907.97499999998</v>
      </c>
      <c r="D7" s="14">
        <f t="shared" ref="D7:F7" si="0">C7*(1+2.5%)</f>
        <v>670255.67437499994</v>
      </c>
      <c r="E7" s="14">
        <f t="shared" si="0"/>
        <v>687012.06623437488</v>
      </c>
      <c r="F7" s="14">
        <f t="shared" si="0"/>
        <v>704187.36789023422</v>
      </c>
    </row>
    <row r="8" spans="1:8" x14ac:dyDescent="0.3">
      <c r="A8" s="11" t="s">
        <v>414</v>
      </c>
      <c r="B8" s="14">
        <f>'Additional Calculation'!D10</f>
        <v>60171.95</v>
      </c>
      <c r="C8" s="14">
        <v>54379</v>
      </c>
      <c r="D8" s="14">
        <v>59863</v>
      </c>
      <c r="E8" s="14">
        <v>63458</v>
      </c>
      <c r="F8" s="14">
        <v>65362</v>
      </c>
    </row>
    <row r="9" spans="1:8" x14ac:dyDescent="0.3">
      <c r="A9" s="11" t="s">
        <v>415</v>
      </c>
      <c r="B9" s="14">
        <f>'Additional Calculation'!E29</f>
        <v>387589</v>
      </c>
      <c r="C9" s="14">
        <f>B9*109%</f>
        <v>422472.01</v>
      </c>
      <c r="D9" s="14">
        <f>C9*102%</f>
        <v>430921.45020000002</v>
      </c>
      <c r="E9" s="14">
        <f>D9*102%</f>
        <v>439539.87920400006</v>
      </c>
      <c r="F9" s="14">
        <f>E9*102%</f>
        <v>448330.67678808008</v>
      </c>
    </row>
    <row r="10" spans="1:8" x14ac:dyDescent="0.3">
      <c r="A10" s="12"/>
      <c r="B10" s="12"/>
      <c r="C10" s="12"/>
      <c r="D10" s="12"/>
      <c r="E10" s="12"/>
      <c r="F10" s="12"/>
    </row>
    <row r="11" spans="1:8" x14ac:dyDescent="0.3">
      <c r="A11" s="12"/>
      <c r="B11" s="12"/>
      <c r="C11" s="12"/>
      <c r="D11" s="12"/>
      <c r="E11" s="12"/>
      <c r="F11" s="12"/>
    </row>
    <row r="12" spans="1:8" x14ac:dyDescent="0.3">
      <c r="A12" s="11" t="s">
        <v>402</v>
      </c>
      <c r="B12" s="12"/>
      <c r="C12" s="14">
        <f>C9-B9</f>
        <v>34883.010000000009</v>
      </c>
      <c r="D12" s="14">
        <f t="shared" ref="D12:F12" si="1">D9-C9</f>
        <v>8449.4402000000118</v>
      </c>
      <c r="E12" s="14">
        <f t="shared" si="1"/>
        <v>8618.4290040000342</v>
      </c>
      <c r="F12" s="14">
        <f t="shared" si="1"/>
        <v>8790.7975840800209</v>
      </c>
    </row>
    <row r="13" spans="1:8" x14ac:dyDescent="0.3">
      <c r="A13" s="11" t="s">
        <v>403</v>
      </c>
      <c r="B13" s="12"/>
      <c r="C13" s="14">
        <f>C8-C12</f>
        <v>19495.989999999991</v>
      </c>
      <c r="D13" s="14">
        <f t="shared" ref="D13:F13" si="2">D8-D12</f>
        <v>51413.559799999988</v>
      </c>
      <c r="E13" s="14">
        <f t="shared" si="2"/>
        <v>54839.570995999966</v>
      </c>
      <c r="F13" s="14">
        <f t="shared" si="2"/>
        <v>56571.202415919979</v>
      </c>
      <c r="G13" s="40">
        <f>F13*(1+3%)/((9.8%-3%))</f>
        <v>856887.33071172913</v>
      </c>
    </row>
    <row r="14" spans="1:8" x14ac:dyDescent="0.3">
      <c r="A14" s="11" t="s">
        <v>404</v>
      </c>
      <c r="B14" s="12"/>
      <c r="C14" s="14">
        <f>C13/(1+$B$3)^1</f>
        <v>17755.910746812377</v>
      </c>
      <c r="D14" s="14">
        <f>D13/(1+$B$3)^2</f>
        <v>42645.478780760503</v>
      </c>
      <c r="E14" s="14">
        <f>E13/(1+$B$3)^3</f>
        <v>41427.338062275245</v>
      </c>
      <c r="F14" s="14"/>
    </row>
    <row r="15" spans="1:8" x14ac:dyDescent="0.3">
      <c r="A15" s="12"/>
      <c r="B15" s="12"/>
      <c r="C15" s="12"/>
      <c r="D15" s="12"/>
      <c r="E15" s="12"/>
      <c r="F15" s="12"/>
    </row>
    <row r="16" spans="1:8" x14ac:dyDescent="0.3">
      <c r="A16" s="11" t="s">
        <v>405</v>
      </c>
      <c r="B16" s="14">
        <f>SUM(C14:E14)</f>
        <v>101828.72758984813</v>
      </c>
      <c r="C16" s="12"/>
      <c r="D16" s="12"/>
      <c r="E16" s="12"/>
      <c r="F16" s="12"/>
    </row>
    <row r="17" spans="1:6" x14ac:dyDescent="0.3">
      <c r="A17" s="11" t="s">
        <v>406</v>
      </c>
      <c r="B17" s="14">
        <f>G13/(1+9.8%)^3</f>
        <v>647316.53596022376</v>
      </c>
      <c r="C17" s="12"/>
      <c r="D17" s="12"/>
      <c r="E17" s="12"/>
      <c r="F17" s="12"/>
    </row>
    <row r="18" spans="1:6" x14ac:dyDescent="0.3">
      <c r="A18" s="11" t="s">
        <v>407</v>
      </c>
      <c r="B18" s="14">
        <f>B16+B17</f>
        <v>749145.26355007186</v>
      </c>
      <c r="C18" s="12"/>
      <c r="D18" s="12"/>
      <c r="E18" s="12"/>
      <c r="F18" s="12"/>
    </row>
    <row r="19" spans="1:6" x14ac:dyDescent="0.3">
      <c r="A19" s="11" t="s">
        <v>408</v>
      </c>
      <c r="B19" s="14">
        <f>'Additional Calculation'!B43</f>
        <v>53952</v>
      </c>
      <c r="C19" s="12"/>
      <c r="D19" s="12"/>
      <c r="E19" s="12"/>
      <c r="F19" s="12"/>
    </row>
    <row r="20" spans="1:6" x14ac:dyDescent="0.3">
      <c r="A20" s="11" t="s">
        <v>409</v>
      </c>
      <c r="B20" s="14">
        <f>B18-B19</f>
        <v>695193.26355007186</v>
      </c>
      <c r="C20" s="12"/>
      <c r="D20" s="12"/>
      <c r="E20" s="12"/>
      <c r="F20" s="12"/>
    </row>
    <row r="21" spans="1:6" x14ac:dyDescent="0.3">
      <c r="A21" s="11" t="s">
        <v>410</v>
      </c>
      <c r="B21" s="14">
        <v>10900</v>
      </c>
      <c r="C21" s="12"/>
      <c r="D21" s="12"/>
      <c r="E21" s="12"/>
      <c r="F21" s="12"/>
    </row>
    <row r="22" spans="1:6" ht="15" thickBot="1" x14ac:dyDescent="0.35">
      <c r="A22" s="11" t="s">
        <v>411</v>
      </c>
      <c r="B22" s="111">
        <f>B20/B21</f>
        <v>63.779198490832279</v>
      </c>
      <c r="C22" s="12"/>
      <c r="D22" s="12"/>
      <c r="E22" s="12"/>
      <c r="F22" s="12"/>
    </row>
    <row r="23" spans="1:6" ht="15" thickTop="1" x14ac:dyDescent="0.3"/>
  </sheetData>
  <mergeCells count="2">
    <mergeCell ref="A1:F1"/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Financial Statement Amazon</vt:lpstr>
      <vt:lpstr>Financial Statement Walmart</vt:lpstr>
      <vt:lpstr>Key Ratios</vt:lpstr>
      <vt:lpstr>Additional Calculation</vt:lpstr>
      <vt:lpstr>Profitability Ratio Analysis</vt:lpstr>
      <vt:lpstr>Productivity Ratio Analysis</vt:lpstr>
      <vt:lpstr>Liquidy Solvency Ratio</vt:lpstr>
      <vt:lpstr>Valuation_DCF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Bhargavi Challa</dc:creator>
  <cp:lastModifiedBy>Bhargavi Challa</cp:lastModifiedBy>
  <dcterms:created xsi:type="dcterms:W3CDTF">2015-06-05T18:17:20Z</dcterms:created>
  <dcterms:modified xsi:type="dcterms:W3CDTF">2025-12-18T03:30:57Z</dcterms:modified>
</cp:coreProperties>
</file>